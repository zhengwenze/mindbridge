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mc:AlternateContent xmlns:mc="http://schemas.openxmlformats.org/markup-compatibility/2006">
    <mc:Choice Requires="x15">
      <x15ac:absPath xmlns:x15ac="http://schemas.microsoft.com/office/spreadsheetml/2010/11/ac" url="/Users/zhengwenze/Desktop/codex/mindbridge/outputs/rag-annotation-20260723/"/>
    </mc:Choice>
  </mc:AlternateContent>
  <xr:revisionPtr revIDLastSave="0" documentId="13_ncr:1_{8E034A28-DD4C-124E-A569-5C67AC4C3763}" xr6:coauthVersionLast="47" xr6:coauthVersionMax="47" xr10:uidLastSave="{00000000-0000-0000-0000-000000000000}"/>
  <bookViews>
    <workbookView xWindow="0" yWindow="760" windowWidth="29400" windowHeight="16880" activeTab="1" xr2:uid="{00000000-000D-0000-FFFF-FFFF00000000}"/>
  </bookViews>
  <sheets>
    <sheet name="审核说明" sheetId="1" r:id="rId1"/>
    <sheet name="AI候选标注" sheetId="2" r:id="rId2"/>
    <sheet name="Locator说明"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E5" i="1"/>
  <c r="C5" i="1"/>
  <c r="A5" i="1"/>
</calcChain>
</file>

<file path=xl/sharedStrings.xml><?xml version="1.0" encoding="utf-8"?>
<sst xmlns="http://schemas.openxmlformats.org/spreadsheetml/2006/main" count="618" uniqueCount="280">
  <si>
    <t>MindBridge RAG 单人审核候选标注</t>
  </si>
  <si>
    <t>说明：本工作簿由AI根据政策原文逐条给出候选标签，不是人工金标。请在“AI候选标注”中逐行选择“确认”或“需修改”，并填写真实审核人。</t>
  </si>
  <si>
    <t>案例总数</t>
  </si>
  <si>
    <t>AI建议正样本</t>
  </si>
  <si>
    <t>AI建议负样本</t>
  </si>
  <si>
    <t>已完成人工确认</t>
  </si>
  <si>
    <t>你只需要完成以下操作</t>
  </si>
  <si>
    <t>步骤</t>
  </si>
  <si>
    <t>操作</t>
  </si>
  <si>
    <t>1</t>
  </si>
  <si>
    <t>在“AI候选标注”逐题核对问题、AI建议Locator和理由。</t>
  </si>
  <si>
    <t>2</t>
  </si>
  <si>
    <t>同意时将“人工确认”改为“确认”；不同意时改为“需修改”，并填写修正列。</t>
  </si>
  <si>
    <t>3</t>
  </si>
  <si>
    <t>在每行“人工审核人”填写你的真实姓名或固定审核编号。</t>
  </si>
  <si>
    <t>4</t>
  </si>
  <si>
    <t>确认状态列显示“可转金标”后，该行才算人工审核完成。</t>
  </si>
  <si>
    <t>5</t>
  </si>
  <si>
    <t>完成48行后将工作簿交回，我再生成正式JSON并运行指标。</t>
  </si>
  <si>
    <t>标注来源与边界</t>
  </si>
  <si>
    <t>问题草稿</t>
  </si>
  <si>
    <t>/Users/zhengwenze/Desktop/codex/mindbridge/app/rag_eval/policy-question-drafts.tsv</t>
  </si>
  <si>
    <t>政策原文</t>
  </si>
  <si>
    <t>/Users/zhengwenze/Desktop/codex/mindbridge/docs/knowledge-docs/campus-counseling-policy-general-guide.md</t>
  </si>
  <si>
    <t>正样本规则</t>
  </si>
  <si>
    <t>至少一个能够直接回答问题的Locator；多个必要段落用英文分号分隔。</t>
  </si>
  <si>
    <t>负样本规则</t>
  </si>
  <si>
    <t>不应触发心理政策检索，知识文档和Locator必须为空。</t>
  </si>
  <si>
    <t>48条案例候选标注与人工确认</t>
  </si>
  <si>
    <t>ID</t>
  </si>
  <si>
    <t>问题</t>
  </si>
  <si>
    <t>草稿类型</t>
  </si>
  <si>
    <t>AI建议检索</t>
  </si>
  <si>
    <t>AI建议知识文档</t>
  </si>
  <si>
    <t>AI建议Locators</t>
  </si>
  <si>
    <t>AI判断理由</t>
  </si>
  <si>
    <t>AI置信度</t>
  </si>
  <si>
    <t>人工确认</t>
  </si>
  <si>
    <t>修正_是否检索</t>
  </si>
  <si>
    <t>修正_知识文档</t>
  </si>
  <si>
    <t>修正_Locators</t>
  </si>
  <si>
    <t>人工备注</t>
  </si>
  <si>
    <t>人工审核人</t>
  </si>
  <si>
    <t>确认状态</t>
  </si>
  <si>
    <t>policy-001</t>
  </si>
  <si>
    <t>我只是最近学习压力很大，也可以预约心理咨询吗？</t>
  </si>
  <si>
    <t>口语改写</t>
  </si>
  <si>
    <t>TRUE</t>
  </si>
  <si>
    <t>campus-counseling-policy-general-guide.md</t>
  </si>
  <si>
    <t>POLICY-SCOPE-001</t>
  </si>
  <si>
    <t>学习压力属于校园心理咨询服务范围，不需要等到问题非常严重才预约。</t>
  </si>
  <si>
    <t>高</t>
  </si>
  <si>
    <t>policy-002</t>
  </si>
  <si>
    <t>是不是一定要有很严重的心理问题才能去学校心理中心？</t>
  </si>
  <si>
    <t>误解澄清</t>
  </si>
  <si>
    <t>服务范围明确说明学生不需要等到问题非常严重才寻求帮助。</t>
  </si>
  <si>
    <t>policy-003</t>
  </si>
  <si>
    <t>校园心理咨询主要能帮学生处理哪些事情？</t>
  </si>
  <si>
    <t>直接提问</t>
  </si>
  <si>
    <t>该段直接列出情绪支持、适应辅导、学习压力、人际关系、睡眠等服务范围。</t>
  </si>
  <si>
    <t>policy-004</t>
  </si>
  <si>
    <t>心理咨询老师能不能诊断抑郁症或者给我开药？</t>
  </si>
  <si>
    <t>边界问题</t>
  </si>
  <si>
    <t>POLICY-SCOPE-001;POLICY-REFERRAL-007</t>
  </si>
  <si>
    <t>服务边界禁止咨询人员诊断、开药；转介条款进一步规定诊断和用药应由有资质的医疗人员处理。</t>
  </si>
  <si>
    <t>policy-005</t>
  </si>
  <si>
    <t>我想调整现在吃的药，能直接问学校咨询师吗？</t>
  </si>
  <si>
    <t>易混淆问题</t>
  </si>
  <si>
    <t>服务边界禁止调整药量，转介条款说明用药、停药、换药应由医疗专业人员处理。</t>
  </si>
  <si>
    <t>policy-006</t>
  </si>
  <si>
    <t>不同年级和专业的学生都能获得同样的咨询服务吗？</t>
  </si>
  <si>
    <t>同义改写</t>
  </si>
  <si>
    <t>POLICY-ELIGIBILITY-002</t>
  </si>
  <si>
    <t>平等原则明确不得因专业、年级及其他身份差异进行歧视。</t>
  </si>
  <si>
    <t>policy-007</t>
  </si>
  <si>
    <t>我担心自己的身份会影响老师对我的态度，政策怎么说？</t>
  </si>
  <si>
    <t>平等原则要求尊重学生人格，不因身份差异区别对待。</t>
  </si>
  <si>
    <t>policy-008</t>
  </si>
  <si>
    <t>学校心理咨询解决不了我的问题时会怎么办？</t>
  </si>
  <si>
    <t>转介边界</t>
  </si>
  <si>
    <t>POLICY-ELIGIBILITY-002;POLICY-REFERRAL-007</t>
  </si>
  <si>
    <t>服务对象条款说明校园咨询不承诺解决所有问题；转介条款说明超出能力时应解释原因并提供合适渠道。</t>
  </si>
  <si>
    <t>policy-009</t>
  </si>
  <si>
    <t>学校心理咨询要从哪里预约？</t>
  </si>
  <si>
    <t>POLICY-APPOINTMENT-003</t>
  </si>
  <si>
    <t>预约条款直接列出学校正式预约系统、心理中心窗口、咨询电话等渠道。</t>
  </si>
  <si>
    <t>policy-010</t>
  </si>
  <si>
    <t>MindBridge 不知道心理中心电话时会不会随便给我一个？</t>
  </si>
  <si>
    <t>可信来源</t>
  </si>
  <si>
    <t>POLICY-APPOINTMENT-003;POLICY-AI-BOUNDARY-010</t>
  </si>
  <si>
    <t>预约条款和AI边界均禁止编造学校电话、地址、时间或网址，并要求引导到官方渠道核验。</t>
  </si>
  <si>
    <t>policy-011</t>
  </si>
  <si>
    <t>预约时必须把自己的全部心理经历都写出来吗？</t>
  </si>
  <si>
    <t>隐私顾虑</t>
  </si>
  <si>
    <t>预约通常只需提供身份核验、联系和服务安排所必需的信息，无需提交全部心理经历。</t>
  </si>
  <si>
    <t>policy-012</t>
  </si>
  <si>
    <t>我可以在班级群里直接发详细情况让老师帮我预约吗？</t>
  </si>
  <si>
    <t>预约条款明确不应在非正式群聊公开提交详细心理经历。</t>
  </si>
  <si>
    <t>policy-013</t>
  </si>
  <si>
    <t>第一次去做心理咨询通常会聊什么？</t>
  </si>
  <si>
    <t>POLICY-FIRST-SESSION-004</t>
  </si>
  <si>
    <t>首次咨询条款列明通常了解当前困扰、持续时间、生活影响、求助目标和安全状况。</t>
  </si>
  <si>
    <t>policy-014</t>
  </si>
  <si>
    <t>第一次咨询为什么会问我有没有伤害自己的想法？</t>
  </si>
  <si>
    <t>原因追问</t>
  </si>
  <si>
    <t>为判断安全和选择支持方式，咨询人员可能直接询问自伤、自杀或伤害他人的情况。</t>
  </si>
  <si>
    <t>policy-015</t>
  </si>
  <si>
    <t>咨询开始前，老师应该向我说明哪些事情？</t>
  </si>
  <si>
    <t>开始前应说明咨询性质、权责、保密及例外、记录和数据使用、转介或结束等事项。</t>
  </si>
  <si>
    <t>policy-016</t>
  </si>
  <si>
    <t>有些事情我现在不想说，可以先不讲吗？</t>
  </si>
  <si>
    <t>学生可以只谈愿意谈的内容，也可以提出暂停或表达不适。</t>
  </si>
  <si>
    <t>policy-017</t>
  </si>
  <si>
    <t>心理咨询的内容是不是无论发生什么都不会告诉任何人？</t>
  </si>
  <si>
    <t>保密误区</t>
  </si>
  <si>
    <t>POLICY-CONFIDENTIALITY-005</t>
  </si>
  <si>
    <t>保密条款明确不能承诺任何情况下绝对保密，并列出安全风险等例外。</t>
  </si>
  <si>
    <t>policy-018</t>
  </si>
  <si>
    <t>什么情况下心理咨询可能不能继续保密？</t>
  </si>
  <si>
    <t>该段直接说明严重紧迫安全风险、依法履责或保护安全时可能启动保密例外。</t>
  </si>
  <si>
    <t>policy-019</t>
  </si>
  <si>
    <t>学校能不能把我的心理困扰当成纪律处分依据？</t>
  </si>
  <si>
    <t>权利边界</t>
  </si>
  <si>
    <t>保密条款明确不得把学生心理困扰作为纪律羞辱或无关评价依据。</t>
  </si>
  <si>
    <t>policy-020</t>
  </si>
  <si>
    <t>如果需要联系其他人，是否应该只分享必要的信息？</t>
  </si>
  <si>
    <t>最小必要</t>
  </si>
  <si>
    <t>保密例外只能在必要范围内共享给承担处置职责的人员或机构。</t>
  </si>
  <si>
    <t>policy-021</t>
  </si>
  <si>
    <t>我已经准备好伤害自己的东西了，还应该等下周预约吗？</t>
  </si>
  <si>
    <t>危机间接测试</t>
  </si>
  <si>
    <t>POLICY-CRISIS-006</t>
  </si>
  <si>
    <t>已经准备自伤工具属于紧急风险，常规预约不能替代即时救助。</t>
  </si>
  <si>
    <t>policy-022</t>
  </si>
  <si>
    <t>室友说今晚要结束生命，我现在应该联系谁？</t>
  </si>
  <si>
    <t>危机求助</t>
  </si>
  <si>
    <t>明确自杀计划属于危机，应立即联系可信任的人、辅导员、保卫、医疗急救或当地紧急服务。</t>
  </si>
  <si>
    <t>policy-023</t>
  </si>
  <si>
    <t>处于紧急危险时，MindBridge 能代替现场救助吗？</t>
  </si>
  <si>
    <t>能力边界</t>
  </si>
  <si>
    <t>POLICY-CRISIS-006;POLICY-AI-BOUNDARY-010</t>
  </si>
  <si>
    <t>危机条款明确MindBridge不能替代现场救助；AI边界也说明其不是紧急救助机构。</t>
  </si>
  <si>
    <t>policy-024</t>
  </si>
  <si>
    <t>我现在不能保证自己安全，普通心理预约够不够？</t>
  </si>
  <si>
    <t>危机口语</t>
  </si>
  <si>
    <t>无法保证当前安全属于紧急情况，普通预约不足以替代即时救助。</t>
  </si>
  <si>
    <t>policy-025</t>
  </si>
  <si>
    <t>咨询师为什么会建议我去医院做进一步评估？</t>
  </si>
  <si>
    <t>转介原因</t>
  </si>
  <si>
    <t>POLICY-REFERRAL-007</t>
  </si>
  <si>
    <t>可能需要精神科或心理科医学评估时应解释转介原因并提供经核验的渠道。</t>
  </si>
  <si>
    <t>policy-026</t>
  </si>
  <si>
    <t>被转介是不是说明学校不愿意继续帮助我？</t>
  </si>
  <si>
    <t>转介不代表学生太严重或被拒绝，而是为了匹配更合适的支持。</t>
  </si>
  <si>
    <t>policy-027</t>
  </si>
  <si>
    <t>涉及诊断和用药的问题应该找谁？</t>
  </si>
  <si>
    <t>咨询人员不得诊断开药；诊断、用药和医疗治疗应由具备资质的医疗专业人员处理。</t>
  </si>
  <si>
    <t>policy-028</t>
  </si>
  <si>
    <t>学校心理中心没有适合我的资源时，下一步怎么办？</t>
  </si>
  <si>
    <t>资源不足</t>
  </si>
  <si>
    <t>资源或能力不足时应解释转介原因，提供经过核验的可选渠道并说明下一步。</t>
  </si>
  <si>
    <t>policy-029</t>
  </si>
  <si>
    <t>心理咨询记录一般可以被哪些人看到？</t>
  </si>
  <si>
    <t>隐私直接问</t>
  </si>
  <si>
    <t>POLICY-CONFIDENTIALITY-005;POLICY-RECORDS-008</t>
  </si>
  <si>
    <t>保密条款限定授权人员接触；记录条款要求按角色权限、访问控制和最小必要原则管理。</t>
  </si>
  <si>
    <t>policy-030</t>
  </si>
  <si>
    <t>咨询记录能不能直接拿去做课堂案例或研究？</t>
  </si>
  <si>
    <t>数据用途</t>
  </si>
  <si>
    <t>POLICY-RECORDS-008</t>
  </si>
  <si>
    <t>用于教学、督导、质量改进或研究的数据必须按规则授权并去标识化或匿名化。</t>
  </si>
  <si>
    <t>policy-031</t>
  </si>
  <si>
    <t>为什么聊天记录和风险报告不能默认对所有老师开放？</t>
  </si>
  <si>
    <t>权限边界</t>
  </si>
  <si>
    <t>不同用途的数据不能因技术上可关联就默认向所有工作人员开放，应落实角色权限和最小展示。</t>
  </si>
  <si>
    <t>policy-032</t>
  </si>
  <si>
    <t>系统保存心理数据时应该遵循什么原则？</t>
  </si>
  <si>
    <t>概括提问</t>
  </si>
  <si>
    <t>保存心理数据需要同时遵循最小必要、授权访问、分类管理、保存期限、销毁和审计等原则。</t>
  </si>
  <si>
    <t>policy-033</t>
  </si>
  <si>
    <t>如果我对咨询过程不舒服，可以申请停止或换一种支持吗？</t>
  </si>
  <si>
    <t>学生权利</t>
  </si>
  <si>
    <t>POLICY-FIRST-SESSION-004;POLICY-RIGHTS-009</t>
  </si>
  <si>
    <t>首次咨询条款允许暂停和表达不适；权利条款允许提出转介、改期或结束咨询。</t>
  </si>
  <si>
    <t>policy-034</t>
  </si>
  <si>
    <t>投诉心理咨询服务会不会影响以后继续预约？</t>
  </si>
  <si>
    <t>反馈顾虑</t>
  </si>
  <si>
    <t>POLICY-RIGHTS-009</t>
  </si>
  <si>
    <t>反馈或投诉不应导致歧视、惩罚或降低后续服务优先级。</t>
  </si>
  <si>
    <t>policy-035</t>
  </si>
  <si>
    <t>学生在咨询中有权了解哪些信息？</t>
  </si>
  <si>
    <t>POLICY-ELIGIBILITY-002;POLICY-RIGHTS-009</t>
  </si>
  <si>
    <t>两段共同列出学生了解服务性质、边界、记录、保密例外以及咨询人员身份等知情权。</t>
  </si>
  <si>
    <t>policy-036</t>
  </si>
  <si>
    <t>学校应该通过什么渠道接受心理服务反馈？</t>
  </si>
  <si>
    <t>流程问题</t>
  </si>
  <si>
    <t>学校应公布真实、可访问的正式反馈渠道及处理流程。</t>
  </si>
  <si>
    <t>policy-037</t>
  </si>
  <si>
    <t>MindBridge 可以直接告诉我得了什么心理疾病吗？</t>
  </si>
  <si>
    <t>AI 边界</t>
  </si>
  <si>
    <t>POLICY-AI-BOUNDARY-010</t>
  </si>
  <si>
    <t>MindBridge不是医生或持证咨询师，不能作出医学诊断。</t>
  </si>
  <si>
    <t>policy-038</t>
  </si>
  <si>
    <t>AI 给出的学校电话和办公时间一定是真的吗？</t>
  </si>
  <si>
    <t>来源核验</t>
  </si>
  <si>
    <t>电话和办公时间必须来自经核验的校本信息；未配置时AI不得编造，应提示查阅官方渠道。</t>
  </si>
  <si>
    <t>policy-039</t>
  </si>
  <si>
    <t>回答校园心理政策时，为什么要展示知识来源？</t>
  </si>
  <si>
    <t>引用可信度</t>
  </si>
  <si>
    <t>AI边界要求回答校园政策问题时展示检索来源，并允许查看片段和原文。</t>
  </si>
  <si>
    <t>policy-040</t>
  </si>
  <si>
    <t>MindBridge 和真人心理咨询师是什么关系？</t>
  </si>
  <si>
    <t>边界概括</t>
  </si>
  <si>
    <t>MindBridge只是心理支持与信息导航工具，不能替代真人咨询师、医生或线下咨询。</t>
  </si>
  <si>
    <t>policy-041</t>
  </si>
  <si>
    <t>学校上线这个系统前必须补充哪些本地信息？</t>
  </si>
  <si>
    <t>部署信息</t>
  </si>
  <si>
    <t>POLICY-LOCAL-FIELDS-011</t>
  </si>
  <si>
    <t>该段完整列出上线前必须补充的名称、入口、时间、地点、电话、危机路径和隐私规则等校本字段。</t>
  </si>
  <si>
    <t>policy-042</t>
  </si>
  <si>
    <t>心理中心换了电话号码以后，知识库应该怎么处理？</t>
  </si>
  <si>
    <t>更新维护</t>
  </si>
  <si>
    <t>校本字段变化后应同步更新知识文档、重新索引，并验证旧联系方式不再被召回。</t>
  </si>
  <si>
    <t>policy-043</t>
  </si>
  <si>
    <t>夜间和节假日的危机求助路径需要提前配置吗？</t>
  </si>
  <si>
    <t>校本字段</t>
  </si>
  <si>
    <t>上线前必须配置夜间、周末和节假日危机求助路径。</t>
  </si>
  <si>
    <t>policy-044</t>
  </si>
  <si>
    <t>政策文档上线前应该由哪些角色审核？</t>
  </si>
  <si>
    <t>审核流程</t>
  </si>
  <si>
    <t>POLICY-SOURCES-012</t>
  </si>
  <si>
    <t>审核说明要求本校心理中心、学生工作部门和法务或数据保护负责人等角色审核。</t>
  </si>
  <si>
    <t>policy-045</t>
  </si>
  <si>
    <t>今天学校食堂有什么菜？</t>
  </si>
  <si>
    <t>普通聊天负样本</t>
  </si>
  <si>
    <t>FALSE</t>
  </si>
  <si>
    <t>食堂菜单属于普通校园生活信息，与心理政策知识库无关，不应触发检索。</t>
  </si>
  <si>
    <t>policy-046</t>
  </si>
  <si>
    <t>帮我写一个 Python 冒泡排序。</t>
  </si>
  <si>
    <t>项目外负样本</t>
  </si>
  <si>
    <t>编程请求属于项目外任务，与心理政策知识库无关，不应触发检索。</t>
  </si>
  <si>
    <t>policy-047</t>
  </si>
  <si>
    <t>明天下午会不会下雨？</t>
  </si>
  <si>
    <t>普通信息负样本</t>
  </si>
  <si>
    <t>天气查询属于普通信息请求，与心理政策知识库无关，不应触发检索。</t>
  </si>
  <si>
    <t>policy-048</t>
  </si>
  <si>
    <t>篮球比赛一节有多长时间？</t>
  </si>
  <si>
    <t>篮球规则属于项目外知识，与心理政策知识库无关，不应触发检索。</t>
  </si>
  <si>
    <t>Locator 标注说明</t>
  </si>
  <si>
    <t>判断原则：只有能够直接回答问题的段落才标为相关；多个必要段落必须全部标出。</t>
  </si>
  <si>
    <t>Locator</t>
  </si>
  <si>
    <t>政策章节</t>
  </si>
  <si>
    <t>适用问题与核心含义</t>
  </si>
  <si>
    <t>政策原文路径</t>
  </si>
  <si>
    <t>适用范围与服务性质</t>
  </si>
  <si>
    <t>服务范围、压力/情绪/适应问题、不必严重才预约；不得诊断、开药或调药</t>
  </si>
  <si>
    <t>服务对象与平等原则</t>
  </si>
  <si>
    <t>身份平等、知情权；超出能力或需要其他支持时应转介</t>
  </si>
  <si>
    <t>预约渠道与校本信息</t>
  </si>
  <si>
    <t>正式预约渠道、最小必要信息、不得在群聊公开详情、不得编造电话地址时间</t>
  </si>
  <si>
    <t>首次咨询与知情说明</t>
  </si>
  <si>
    <t>首次咨询内容、开始前说明事项、可暂不讲、直接询问安全风险的原因</t>
  </si>
  <si>
    <t>保密原则</t>
  </si>
  <si>
    <t>隐私、授权访问、最小必要、保密例外、不得作为纪律羞辱依据</t>
  </si>
  <si>
    <t>危机与紧急情况</t>
  </si>
  <si>
    <t>自伤/自杀/伤人计划、工具、无法保证安全；即时救助和联系路径</t>
  </si>
  <si>
    <t>转介与医疗支持</t>
  </si>
  <si>
    <t>超出职责/能力/资源时转介；医学评估、诊断和用药由医疗专业人员处理</t>
  </si>
  <si>
    <t>咨询记录与数据保护</t>
  </si>
  <si>
    <t>记录用途、授权/匿名化、角色权限、审计、最小必要展示</t>
  </si>
  <si>
    <t>学生的权利与反馈</t>
  </si>
  <si>
    <t>了解信息、表达不适、暂停/转介/改期/结束、投诉不受惩罚、正式反馈渠道</t>
  </si>
  <si>
    <t>MindBridge使用边界</t>
  </si>
  <si>
    <t>不是咨询师/医生/紧急机构；不得诊断、编造校本信息；政策回答展示来源</t>
  </si>
  <si>
    <t>上线前必须补全的校本字段</t>
  </si>
  <si>
    <t>名称、入口、开放时间、地点、电话、危机路径、隐私和反馈渠道；更新后重索引</t>
  </si>
  <si>
    <t>依据与审核说明</t>
  </si>
  <si>
    <t>参考依据、上线前审核角色和重点确认事项</t>
  </si>
  <si>
    <t>确认</t>
    <phoneticPr fontId="11" type="noConversion"/>
  </si>
  <si>
    <t>郑文泽</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</si>
</sst>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rlito"/>
    </font>
    <font>
      <b/>
      <sz val="18"/>
      <color rgb="FFFFFFFF"/>
      <name val="Carlito"/>
    </font>
    <font>
      <b/>
      <sz val="11"/>
      <color rgb="FF7A4E00"/>
      <name val="Carlito"/>
    </font>
    <font>
      <b/>
      <sz val="11"/>
      <color rgb="FF183042"/>
      <name val="Carlito"/>
    </font>
    <font>
      <b/>
      <sz val="16"/>
      <color rgb="FF123B5D"/>
      <name val="Carlito"/>
    </font>
    <font>
      <b/>
      <sz val="13"/>
      <color rgb="FF183042"/>
      <name val="Carlito"/>
    </font>
    <font>
      <sz val="11"/>
      <color rgb="FF183042"/>
      <name val="Carlito"/>
    </font>
    <font>
      <sz val="11"/>
      <color rgb="FF536878"/>
      <name val="Carlito"/>
    </font>
    <font>
      <b/>
      <sz val="17"/>
      <color rgb="FFFFFFFF"/>
      <name val="Carlito"/>
    </font>
    <font>
      <b/>
      <sz val="11"/>
      <color rgb="FFFFFFFF"/>
      <name val="Carlito"/>
    </font>
    <font>
      <sz val="11"/>
      <name val="Carlito"/>
    </font>
    <font>
      <sz val="9"/>
      <name val="FangSong"/>
      <family val="3"/>
      <charset val="134"/>
    </font>
  </fonts>
  <fills count="8">
    <fill>
      <patternFill patternType="none"/>
    </fill>
    <fill>
      <patternFill patternType="gray125"/>
    </fill>
    <fill>
      <patternFill patternType="solid">
        <fgColor rgb="FF123B5D"/>
      </patternFill>
    </fill>
    <fill>
      <patternFill patternType="solid">
        <fgColor rgb="FFFFF4CE"/>
      </patternFill>
    </fill>
    <fill>
      <patternFill patternType="solid">
        <fgColor rgb="FFDCEAF5"/>
      </patternFill>
    </fill>
    <fill>
      <patternFill patternType="solid">
        <fgColor rgb="FFEAF3F8"/>
      </patternFill>
    </fill>
    <fill>
      <patternFill patternType="solid">
        <fgColor rgb="FFF3F6F8"/>
      </patternFill>
    </fill>
    <fill>
      <patternFill patternType="solid">
        <fgColor rgb="FFFFF2CC"/>
      </patternFill>
    </fill>
  </fills>
  <borders count="4">
    <border>
      <left/>
      <right/>
      <top/>
      <bottom/>
      <diagonal/>
    </border>
    <border>
      <left/>
      <right/>
      <top/>
      <bottom style="thin">
        <color rgb="FFC9D6DF"/>
      </bottom>
      <diagonal/>
    </border>
    <border>
      <left/>
      <right/>
      <top style="thin">
        <color rgb="FFC9D6DF"/>
      </top>
      <bottom style="thin">
        <color rgb="FFC9D6DF"/>
      </bottom>
      <diagonal/>
    </border>
    <border>
      <left/>
      <right/>
      <top style="thin">
        <color rgb="FFC9D6DF"/>
      </top>
      <bottom/>
      <diagonal/>
    </border>
  </borders>
  <cellStyleXfs count="2">
    <xf numFmtId="0" fontId="0" fillId="0" borderId="0"/>
    <xf numFmtId="0" fontId="10" fillId="0" borderId="0"/>
  </cellStyleXfs>
  <cellXfs count="29">
    <xf numFmtId="0" fontId="0" fillId="0" borderId="0" xfId="0"/>
    <xf numFmtId="0" fontId="0" fillId="0" borderId="2" xfId="1" applyFont="1" applyBorder="1"/>
    <xf numFmtId="0" fontId="3" fillId="4" borderId="2" xfId="1" applyFont="1" applyFill="1" applyBorder="1" applyAlignment="1">
      <alignment horizontal="center"/>
    </xf>
    <xf numFmtId="0" fontId="4" fillId="0" borderId="2" xfId="1" applyFont="1" applyBorder="1" applyAlignment="1">
      <alignment horizontal="center" vertical="center"/>
    </xf>
    <xf numFmtId="0" fontId="3" fillId="5" borderId="2" xfId="1" applyFont="1" applyFill="1" applyBorder="1"/>
    <xf numFmtId="0" fontId="6" fillId="0" borderId="2" xfId="1" applyFont="1" applyBorder="1" applyAlignment="1">
      <alignment vertical="center" wrapText="1"/>
    </xf>
    <xf numFmtId="0" fontId="3" fillId="6" borderId="2" xfId="1" applyFont="1" applyFill="1" applyBorder="1"/>
    <xf numFmtId="0" fontId="3" fillId="6" borderId="3" xfId="1" applyFont="1" applyFill="1" applyBorder="1"/>
    <xf numFmtId="0" fontId="9" fillId="2" borderId="0" xfId="1" applyFont="1" applyFill="1" applyAlignment="1">
      <alignment horizontal="center" vertical="center" wrapText="1"/>
    </xf>
    <xf numFmtId="0" fontId="6" fillId="5" borderId="1" xfId="1" applyFont="1" applyFill="1" applyBorder="1" applyAlignment="1">
      <alignment vertical="top" wrapText="1"/>
    </xf>
    <xf numFmtId="0" fontId="6" fillId="7" borderId="1" xfId="1" applyFont="1" applyFill="1" applyBorder="1" applyAlignment="1">
      <alignment vertical="top" wrapText="1"/>
    </xf>
    <xf numFmtId="0" fontId="3" fillId="0" borderId="1" xfId="1" applyFont="1" applyBorder="1" applyAlignment="1">
      <alignment horizontal="center" vertical="center"/>
    </xf>
    <xf numFmtId="0" fontId="6" fillId="5" borderId="2" xfId="1" applyFont="1" applyFill="1" applyBorder="1" applyAlignment="1">
      <alignment vertical="top" wrapText="1"/>
    </xf>
    <xf numFmtId="0" fontId="6" fillId="7" borderId="2" xfId="1" applyFont="1" applyFill="1" applyBorder="1" applyAlignment="1">
      <alignment vertical="top" wrapText="1"/>
    </xf>
    <xf numFmtId="0" fontId="6" fillId="5" borderId="3" xfId="1" applyFont="1" applyFill="1" applyBorder="1" applyAlignment="1">
      <alignment vertical="top" wrapText="1"/>
    </xf>
    <xf numFmtId="0" fontId="6" fillId="7" borderId="3" xfId="1" applyFont="1" applyFill="1" applyBorder="1" applyAlignment="1">
      <alignment vertical="top" wrapText="1"/>
    </xf>
    <xf numFmtId="0" fontId="9" fillId="2" borderId="0" xfId="1" applyFont="1" applyFill="1" applyAlignment="1">
      <alignment horizontal="center"/>
    </xf>
    <xf numFmtId="0" fontId="6" fillId="0" borderId="1" xfId="1" applyFont="1" applyBorder="1" applyAlignment="1">
      <alignment vertical="top" wrapText="1"/>
    </xf>
    <xf numFmtId="0" fontId="6" fillId="0" borderId="2" xfId="1" applyFont="1" applyBorder="1" applyAlignment="1">
      <alignment vertical="top" wrapText="1"/>
    </xf>
    <xf numFmtId="0" fontId="6" fillId="0" borderId="3" xfId="1" applyFont="1" applyBorder="1" applyAlignment="1">
      <alignment vertical="top" wrapText="1"/>
    </xf>
    <xf numFmtId="0" fontId="7" fillId="0" borderId="2" xfId="1" applyFont="1" applyBorder="1" applyAlignment="1">
      <alignment wrapText="1"/>
    </xf>
    <xf numFmtId="0" fontId="7" fillId="0" borderId="3" xfId="1" applyFont="1" applyBorder="1" applyAlignment="1">
      <alignment wrapText="1"/>
    </xf>
    <xf numFmtId="0" fontId="6" fillId="0" borderId="2" xfId="1" applyFont="1" applyBorder="1" applyAlignment="1">
      <alignment vertical="center" wrapText="1"/>
    </xf>
    <xf numFmtId="0" fontId="5" fillId="4" borderId="2" xfId="1" applyFont="1" applyFill="1" applyBorder="1"/>
    <xf numFmtId="0" fontId="1" fillId="2" borderId="1" xfId="1" applyFont="1" applyFill="1" applyBorder="1" applyAlignment="1">
      <alignment vertical="center"/>
    </xf>
    <xf numFmtId="0" fontId="2" fillId="3" borderId="2" xfId="1" applyFont="1" applyFill="1" applyBorder="1" applyAlignment="1">
      <alignment vertical="center" wrapText="1"/>
    </xf>
    <xf numFmtId="0" fontId="3" fillId="5" borderId="2" xfId="1" applyFont="1" applyFill="1" applyBorder="1"/>
    <xf numFmtId="0" fontId="8" fillId="2" borderId="0" xfId="1" applyFont="1" applyFill="1" applyAlignment="1">
      <alignment vertical="center"/>
    </xf>
    <xf numFmtId="0" fontId="2" fillId="3" borderId="0" xfId="1" applyFont="1" applyFill="1"/>
  </cellXfs>
  <cellStyles count="2">
    <cellStyle name="Normal" xfId="1" xr:uid="{00000000-0005-0000-0000-000000000000}"/>
    <cellStyle name="常规" xfId="0" builtinId="0"/>
  </cellStyles>
  <dxfs count="10">
    <dxf>
      <font>
        <b/>
        <i val="0"/>
        <strike val="0"/>
        <condense val="0"/>
        <extend val="0"/>
        <outline val="0"/>
        <shadow val="0"/>
        <u val="none"/>
        <vertAlign val="baseline"/>
        <sz val="11"/>
        <color rgb="FF183042"/>
        <name val="Carlito"/>
        <scheme val="none"/>
      </font>
      <alignment horizontal="center" vertical="center" textRotation="0" wrapText="0" indent="0" justifyLastLine="0" shrinkToFit="0" readingOrder="0"/>
      <border diagonalUp="0" diagonalDown="0">
        <left/>
        <right/>
        <top/>
        <bottom style="thin">
          <color rgb="FFC9D6DF"/>
        </bottom>
        <vertical/>
        <horizontal/>
      </border>
    </dxf>
    <dxf>
      <font>
        <b/>
        <color rgb="FF7A4E00"/>
      </font>
      <fill>
        <patternFill patternType="solid">
          <bgColor rgb="FFFFF2CC"/>
        </patternFill>
      </fill>
    </dxf>
    <dxf>
      <font>
        <b/>
        <color rgb="FF9C0006"/>
      </font>
      <fill>
        <patternFill patternType="solid">
          <bgColor rgb="FFFCE4D6"/>
        </patternFill>
      </fill>
    </dxf>
    <dxf>
      <font>
        <b/>
        <color rgb="FF375623"/>
      </font>
      <fill>
        <patternFill patternType="solid">
          <bgColor rgb="FFE2F0D9"/>
        </patternFill>
      </fill>
    </dxf>
    <dxf>
      <font>
        <b/>
        <color rgb="FF7A4E00"/>
      </font>
      <fill>
        <patternFill patternType="solid">
          <bgColor rgb="FFFFF2CC"/>
        </patternFill>
      </fill>
    </dxf>
    <dxf>
      <font>
        <b/>
        <color rgb="FF9C0006"/>
      </font>
      <fill>
        <patternFill patternType="solid">
          <bgColor rgb="FFFCE4D6"/>
        </patternFill>
      </fill>
    </dxf>
    <dxf>
      <font>
        <b/>
        <color rgb="FF375623"/>
      </font>
      <fill>
        <patternFill patternType="solid">
          <bgColor rgb="FFE2F0D9"/>
        </patternFill>
      </fill>
    </dxf>
    <dxf>
      <font>
        <b/>
        <color rgb="FF9C5700"/>
      </font>
      <fill>
        <patternFill patternType="solid">
          <bgColor rgb="FFFCE4D6"/>
        </patternFill>
      </fill>
    </dxf>
    <dxf>
      <font>
        <b/>
        <color rgb="FF375623"/>
      </font>
      <fill>
        <patternFill patternType="solid">
          <bgColor rgb="FFE2F0D9"/>
        </patternFill>
      </fill>
    </dxf>
    <dxf>
      <font>
        <b/>
        <i val="0"/>
        <strike val="0"/>
        <condense val="0"/>
        <extend val="0"/>
        <outline val="0"/>
        <shadow val="0"/>
        <u val="none"/>
        <vertAlign val="baseline"/>
        <sz val="11"/>
        <color rgb="FF183042"/>
        <name val="Carlito"/>
        <scheme val="none"/>
      </font>
      <alignment horizontal="center" vertical="center" textRotation="0" wrapText="0" indent="0" justifyLastLine="0" shrinkToFit="0" readingOrder="0"/>
      <border diagonalUp="0" diagonalDown="0">
        <left/>
        <right/>
        <top/>
        <bottom style="thin">
          <color rgb="FFC9D6DF"/>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agAnnotationTable" displayName="RagAnnotationTable" ref="A2:O50" totalsRowShown="0">
  <autoFilter ref="A2:O50" xr:uid="{00000000-0009-0000-0100-000001000000}"/>
  <tableColumns count="15">
    <tableColumn id="1" xr3:uid="{00000000-0010-0000-0000-000001000000}" name="ID"/>
    <tableColumn id="2" xr3:uid="{00000000-0010-0000-0000-000002000000}" name="问题"/>
    <tableColumn id="3" xr3:uid="{00000000-0010-0000-0000-000003000000}" name="草稿类型"/>
    <tableColumn id="4" xr3:uid="{00000000-0010-0000-0000-000004000000}" name="AI建议检索"/>
    <tableColumn id="5" xr3:uid="{00000000-0010-0000-0000-000005000000}" name="AI建议知识文档"/>
    <tableColumn id="6" xr3:uid="{00000000-0010-0000-0000-000006000000}" name="AI建议Locators"/>
    <tableColumn id="7" xr3:uid="{00000000-0010-0000-0000-000007000000}" name="AI判断理由"/>
    <tableColumn id="8" xr3:uid="{00000000-0010-0000-0000-000008000000}" name="AI置信度"/>
    <tableColumn id="9" xr3:uid="{00000000-0010-0000-0000-000009000000}" name="人工确认"/>
    <tableColumn id="10" xr3:uid="{00000000-0010-0000-0000-00000A000000}" name="修正_是否检索"/>
    <tableColumn id="11" xr3:uid="{00000000-0010-0000-0000-00000B000000}" name="修正_知识文档"/>
    <tableColumn id="12" xr3:uid="{00000000-0010-0000-0000-00000C000000}" name="修正_Locators"/>
    <tableColumn id="13" xr3:uid="{00000000-0010-0000-0000-00000D000000}" name="人工备注"/>
    <tableColumn id="14" xr3:uid="{00000000-0010-0000-0000-00000E000000}" name="人工审核人" dataDxfId="0" dataCellStyle="Normal"/>
    <tableColumn id="15" xr3:uid="{00000000-0010-0000-0000-00000F000000}" name="确认状态" dataDxfId="9" dataCellStyle="Norm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LocatorCodebookTable" displayName="LocatorCodebookTable" ref="A4:D16" totalsRowShown="0">
  <tableColumns count="4">
    <tableColumn id="1" xr3:uid="{00000000-0010-0000-0100-000001000000}" name="Locator"/>
    <tableColumn id="2" xr3:uid="{00000000-0010-0000-0100-000002000000}" name="政策章节"/>
    <tableColumn id="3" xr3:uid="{00000000-0010-0000-0100-000003000000}" name="适用问题与核心含义"/>
    <tableColumn id="4" xr3:uid="{00000000-0010-0000-0100-000004000000}" name="政策原文路径"/>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workbookViewId="0">
      <selection sqref="A1:H1"/>
    </sheetView>
  </sheetViews>
  <sheetFormatPr baseColWidth="10" defaultColWidth="8.83203125" defaultRowHeight="14"/>
  <cols>
    <col min="1" max="1" width="14" customWidth="1"/>
    <col min="2" max="2" width="22" customWidth="1"/>
    <col min="3" max="8" width="14" customWidth="1"/>
  </cols>
  <sheetData>
    <row r="1" spans="1:8" ht="34" customHeight="1">
      <c r="A1" s="24" t="s">
        <v>0</v>
      </c>
      <c r="B1" s="24"/>
      <c r="C1" s="24"/>
      <c r="D1" s="24"/>
      <c r="E1" s="24"/>
      <c r="F1" s="24"/>
      <c r="G1" s="24"/>
      <c r="H1" s="24"/>
    </row>
    <row r="2" spans="1:8" ht="42" customHeight="1">
      <c r="A2" s="25" t="s">
        <v>1</v>
      </c>
      <c r="B2" s="25"/>
      <c r="C2" s="25"/>
      <c r="D2" s="25"/>
      <c r="E2" s="25"/>
      <c r="F2" s="25"/>
      <c r="G2" s="25"/>
      <c r="H2" s="25"/>
    </row>
    <row r="3" spans="1:8">
      <c r="A3" s="1"/>
      <c r="B3" s="1"/>
      <c r="C3" s="1"/>
      <c r="D3" s="1"/>
      <c r="E3" s="1"/>
      <c r="F3" s="1"/>
      <c r="G3" s="1"/>
      <c r="H3" s="1"/>
    </row>
    <row r="4" spans="1:8" ht="15">
      <c r="A4" s="2" t="s">
        <v>2</v>
      </c>
      <c r="B4" s="2"/>
      <c r="C4" s="2" t="s">
        <v>3</v>
      </c>
      <c r="D4" s="2"/>
      <c r="E4" s="2" t="s">
        <v>4</v>
      </c>
      <c r="F4" s="2"/>
      <c r="G4" s="2" t="s">
        <v>5</v>
      </c>
      <c r="H4" s="2"/>
    </row>
    <row r="5" spans="1:8" ht="30" customHeight="1">
      <c r="A5" s="3">
        <f>COUNTA(AI候选标注!A3:A50)</f>
        <v>48</v>
      </c>
      <c r="B5" s="3"/>
      <c r="C5" s="3">
        <f>COUNTIF(AI候选标注!D3:D50,"TRUE")</f>
        <v>0</v>
      </c>
      <c r="D5" s="3"/>
      <c r="E5" s="3">
        <f>COUNTIF(AI候选标注!D3:D50,"FALSE")</f>
        <v>0</v>
      </c>
      <c r="F5" s="3"/>
      <c r="G5" s="3">
        <f>COUNTIF(AI候选标注!O3:O50,"可转金标")</f>
        <v>0</v>
      </c>
      <c r="H5" s="3"/>
    </row>
    <row r="6" spans="1:8">
      <c r="A6" s="1"/>
      <c r="B6" s="1"/>
      <c r="C6" s="1"/>
      <c r="D6" s="1"/>
      <c r="E6" s="1"/>
      <c r="F6" s="1"/>
      <c r="G6" s="1"/>
      <c r="H6" s="1"/>
    </row>
    <row r="7" spans="1:8" ht="17">
      <c r="A7" s="23" t="s">
        <v>6</v>
      </c>
      <c r="B7" s="23"/>
      <c r="C7" s="23"/>
      <c r="D7" s="23"/>
      <c r="E7" s="23"/>
      <c r="F7" s="23"/>
      <c r="G7" s="23"/>
      <c r="H7" s="23"/>
    </row>
    <row r="8" spans="1:8" ht="15">
      <c r="A8" s="4" t="s">
        <v>7</v>
      </c>
      <c r="B8" s="26" t="s">
        <v>8</v>
      </c>
      <c r="C8" s="26"/>
      <c r="D8" s="26"/>
      <c r="E8" s="26"/>
      <c r="F8" s="26"/>
      <c r="G8" s="26"/>
      <c r="H8" s="26"/>
    </row>
    <row r="9" spans="1:8" ht="28" customHeight="1">
      <c r="A9" s="5" t="s">
        <v>9</v>
      </c>
      <c r="B9" s="22" t="s">
        <v>10</v>
      </c>
      <c r="C9" s="22"/>
      <c r="D9" s="22"/>
      <c r="E9" s="22"/>
      <c r="F9" s="22"/>
      <c r="G9" s="22"/>
      <c r="H9" s="22"/>
    </row>
    <row r="10" spans="1:8" ht="28" customHeight="1">
      <c r="A10" s="5" t="s">
        <v>11</v>
      </c>
      <c r="B10" s="22" t="s">
        <v>12</v>
      </c>
      <c r="C10" s="22"/>
      <c r="D10" s="22"/>
      <c r="E10" s="22"/>
      <c r="F10" s="22"/>
      <c r="G10" s="22"/>
      <c r="H10" s="22"/>
    </row>
    <row r="11" spans="1:8" ht="28" customHeight="1">
      <c r="A11" s="5" t="s">
        <v>13</v>
      </c>
      <c r="B11" s="22" t="s">
        <v>14</v>
      </c>
      <c r="C11" s="22"/>
      <c r="D11" s="22"/>
      <c r="E11" s="22"/>
      <c r="F11" s="22"/>
      <c r="G11" s="22"/>
      <c r="H11" s="22"/>
    </row>
    <row r="12" spans="1:8" ht="28" customHeight="1">
      <c r="A12" s="5" t="s">
        <v>15</v>
      </c>
      <c r="B12" s="22" t="s">
        <v>16</v>
      </c>
      <c r="C12" s="22"/>
      <c r="D12" s="22"/>
      <c r="E12" s="22"/>
      <c r="F12" s="22"/>
      <c r="G12" s="22"/>
      <c r="H12" s="22"/>
    </row>
    <row r="13" spans="1:8" ht="28" customHeight="1">
      <c r="A13" s="5" t="s">
        <v>17</v>
      </c>
      <c r="B13" s="22" t="s">
        <v>18</v>
      </c>
      <c r="C13" s="22"/>
      <c r="D13" s="22"/>
      <c r="E13" s="22"/>
      <c r="F13" s="22"/>
      <c r="G13" s="22"/>
      <c r="H13" s="22"/>
    </row>
    <row r="14" spans="1:8">
      <c r="A14" s="1"/>
      <c r="B14" s="1"/>
      <c r="C14" s="1"/>
      <c r="D14" s="1"/>
      <c r="E14" s="1"/>
      <c r="F14" s="1"/>
      <c r="G14" s="1"/>
      <c r="H14" s="1"/>
    </row>
    <row r="15" spans="1:8" ht="17">
      <c r="A15" s="23" t="s">
        <v>19</v>
      </c>
      <c r="B15" s="23"/>
      <c r="C15" s="23"/>
      <c r="D15" s="23"/>
      <c r="E15" s="23"/>
      <c r="F15" s="23"/>
      <c r="G15" s="23"/>
      <c r="H15" s="23"/>
    </row>
    <row r="16" spans="1:8" ht="15">
      <c r="A16" s="6" t="s">
        <v>20</v>
      </c>
      <c r="B16" s="20" t="s">
        <v>21</v>
      </c>
      <c r="C16" s="20"/>
      <c r="D16" s="20"/>
      <c r="E16" s="20"/>
      <c r="F16" s="20"/>
      <c r="G16" s="20"/>
      <c r="H16" s="20"/>
    </row>
    <row r="17" spans="1:8" ht="15">
      <c r="A17" s="6" t="s">
        <v>22</v>
      </c>
      <c r="B17" s="20" t="s">
        <v>23</v>
      </c>
      <c r="C17" s="20"/>
      <c r="D17" s="20"/>
      <c r="E17" s="20"/>
      <c r="F17" s="20"/>
      <c r="G17" s="20"/>
      <c r="H17" s="20"/>
    </row>
    <row r="18" spans="1:8" ht="15">
      <c r="A18" s="6" t="s">
        <v>24</v>
      </c>
      <c r="B18" s="20" t="s">
        <v>25</v>
      </c>
      <c r="C18" s="20"/>
      <c r="D18" s="20"/>
      <c r="E18" s="20"/>
      <c r="F18" s="20"/>
      <c r="G18" s="20"/>
      <c r="H18" s="20"/>
    </row>
    <row r="19" spans="1:8" ht="15">
      <c r="A19" s="7" t="s">
        <v>26</v>
      </c>
      <c r="B19" s="21" t="s">
        <v>27</v>
      </c>
      <c r="C19" s="21"/>
      <c r="D19" s="21"/>
      <c r="E19" s="21"/>
      <c r="F19" s="21"/>
      <c r="G19" s="21"/>
      <c r="H19" s="21"/>
    </row>
  </sheetData>
  <mergeCells count="14">
    <mergeCell ref="A1:H1"/>
    <mergeCell ref="A2:H2"/>
    <mergeCell ref="A7:H7"/>
    <mergeCell ref="B8:H8"/>
    <mergeCell ref="B9:H9"/>
    <mergeCell ref="B16:H16"/>
    <mergeCell ref="B17:H17"/>
    <mergeCell ref="B18:H18"/>
    <mergeCell ref="B19:H19"/>
    <mergeCell ref="B10:H10"/>
    <mergeCell ref="B11:H11"/>
    <mergeCell ref="B12:H12"/>
    <mergeCell ref="B13:H13"/>
    <mergeCell ref="A15:H15"/>
  </mergeCells>
  <phoneticPr fontId="1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0"/>
  <sheetViews>
    <sheetView showGridLines="0" tabSelected="1" topLeftCell="G42" workbookViewId="0">
      <selection activeCell="Q45" sqref="Q45"/>
    </sheetView>
  </sheetViews>
  <sheetFormatPr baseColWidth="10" defaultColWidth="8.83203125" defaultRowHeight="14"/>
  <cols>
    <col min="1" max="1" width="14" customWidth="1"/>
    <col min="2" max="2" width="38" customWidth="1"/>
    <col min="3" max="3" width="16" customWidth="1"/>
    <col min="4" max="4" width="14" customWidth="1"/>
    <col min="5" max="6" width="34" customWidth="1"/>
    <col min="7" max="7" width="52" customWidth="1"/>
    <col min="8" max="8" width="12" customWidth="1"/>
    <col min="9" max="9" width="14" customWidth="1"/>
    <col min="10" max="10" width="17" customWidth="1"/>
    <col min="11" max="12" width="34" customWidth="1"/>
    <col min="13" max="13" width="30" customWidth="1"/>
    <col min="14" max="14" width="18" customWidth="1"/>
    <col min="15" max="15" width="24" customWidth="1"/>
  </cols>
  <sheetData>
    <row r="1" spans="1:15" ht="34" customHeight="1">
      <c r="A1" s="27" t="s">
        <v>28</v>
      </c>
      <c r="B1" s="27"/>
      <c r="C1" s="27"/>
      <c r="D1" s="27"/>
      <c r="E1" s="27"/>
      <c r="F1" s="27"/>
      <c r="G1" s="27"/>
      <c r="H1" s="27"/>
      <c r="I1" s="27"/>
      <c r="J1" s="27"/>
      <c r="K1" s="27"/>
      <c r="L1" s="27"/>
      <c r="M1" s="27"/>
      <c r="N1" s="27"/>
      <c r="O1" s="27"/>
    </row>
    <row r="2" spans="1:15" ht="34" customHeight="1">
      <c r="A2" s="8" t="s">
        <v>29</v>
      </c>
      <c r="B2" s="8" t="s">
        <v>30</v>
      </c>
      <c r="C2" s="8" t="s">
        <v>31</v>
      </c>
      <c r="D2" s="8" t="s">
        <v>32</v>
      </c>
      <c r="E2" s="8" t="s">
        <v>33</v>
      </c>
      <c r="F2" s="8" t="s">
        <v>34</v>
      </c>
      <c r="G2" s="8" t="s">
        <v>35</v>
      </c>
      <c r="H2" s="8" t="s">
        <v>36</v>
      </c>
      <c r="I2" s="8" t="s">
        <v>37</v>
      </c>
      <c r="J2" s="8" t="s">
        <v>38</v>
      </c>
      <c r="K2" s="8" t="s">
        <v>39</v>
      </c>
      <c r="L2" s="8" t="s">
        <v>40</v>
      </c>
      <c r="M2" s="8" t="s">
        <v>41</v>
      </c>
      <c r="N2" s="8" t="s">
        <v>42</v>
      </c>
      <c r="O2" s="8" t="s">
        <v>43</v>
      </c>
    </row>
    <row r="3" spans="1:15" ht="64" customHeight="1">
      <c r="A3" s="9" t="s">
        <v>44</v>
      </c>
      <c r="B3" s="9" t="s">
        <v>45</v>
      </c>
      <c r="C3" s="9" t="s">
        <v>46</v>
      </c>
      <c r="D3" s="9" t="s">
        <v>47</v>
      </c>
      <c r="E3" s="9" t="s">
        <v>48</v>
      </c>
      <c r="F3" s="9" t="s">
        <v>49</v>
      </c>
      <c r="G3" s="9" t="s">
        <v>50</v>
      </c>
      <c r="H3" s="9" t="s">
        <v>51</v>
      </c>
      <c r="I3" s="10" t="s">
        <v>278</v>
      </c>
      <c r="J3" s="10"/>
      <c r="K3" s="10"/>
      <c r="L3" s="10"/>
      <c r="M3" s="10"/>
      <c r="N3" s="11" t="s">
        <v>279</v>
      </c>
      <c r="O3" s="11" t="s">
        <v>278</v>
      </c>
    </row>
    <row r="4" spans="1:15" ht="64" customHeight="1">
      <c r="A4" s="12" t="s">
        <v>52</v>
      </c>
      <c r="B4" s="12" t="s">
        <v>53</v>
      </c>
      <c r="C4" s="12" t="s">
        <v>54</v>
      </c>
      <c r="D4" s="12" t="s">
        <v>47</v>
      </c>
      <c r="E4" s="12" t="s">
        <v>48</v>
      </c>
      <c r="F4" s="12" t="s">
        <v>49</v>
      </c>
      <c r="G4" s="12" t="s">
        <v>55</v>
      </c>
      <c r="H4" s="12" t="s">
        <v>51</v>
      </c>
      <c r="I4" s="13" t="s">
        <v>278</v>
      </c>
      <c r="J4" s="13"/>
      <c r="K4" s="13"/>
      <c r="L4" s="13"/>
      <c r="M4" s="13"/>
      <c r="N4" s="11" t="s">
        <v>279</v>
      </c>
      <c r="O4" s="11" t="s">
        <v>278</v>
      </c>
    </row>
    <row r="5" spans="1:15" ht="64" customHeight="1">
      <c r="A5" s="12" t="s">
        <v>56</v>
      </c>
      <c r="B5" s="12" t="s">
        <v>57</v>
      </c>
      <c r="C5" s="12" t="s">
        <v>58</v>
      </c>
      <c r="D5" s="12" t="s">
        <v>47</v>
      </c>
      <c r="E5" s="12" t="s">
        <v>48</v>
      </c>
      <c r="F5" s="12" t="s">
        <v>49</v>
      </c>
      <c r="G5" s="12" t="s">
        <v>59</v>
      </c>
      <c r="H5" s="12" t="s">
        <v>51</v>
      </c>
      <c r="I5" s="13" t="s">
        <v>278</v>
      </c>
      <c r="J5" s="13"/>
      <c r="K5" s="13"/>
      <c r="L5" s="13"/>
      <c r="M5" s="13"/>
      <c r="N5" s="11" t="s">
        <v>279</v>
      </c>
      <c r="O5" s="11" t="s">
        <v>278</v>
      </c>
    </row>
    <row r="6" spans="1:15" ht="64" customHeight="1">
      <c r="A6" s="12" t="s">
        <v>60</v>
      </c>
      <c r="B6" s="12" t="s">
        <v>61</v>
      </c>
      <c r="C6" s="12" t="s">
        <v>62</v>
      </c>
      <c r="D6" s="12" t="s">
        <v>47</v>
      </c>
      <c r="E6" s="12" t="s">
        <v>48</v>
      </c>
      <c r="F6" s="12" t="s">
        <v>63</v>
      </c>
      <c r="G6" s="12" t="s">
        <v>64</v>
      </c>
      <c r="H6" s="12" t="s">
        <v>51</v>
      </c>
      <c r="I6" s="13" t="s">
        <v>278</v>
      </c>
      <c r="J6" s="13"/>
      <c r="K6" s="13"/>
      <c r="L6" s="13"/>
      <c r="M6" s="13"/>
      <c r="N6" s="11" t="s">
        <v>279</v>
      </c>
      <c r="O6" s="11" t="s">
        <v>278</v>
      </c>
    </row>
    <row r="7" spans="1:15" ht="64" customHeight="1">
      <c r="A7" s="12" t="s">
        <v>65</v>
      </c>
      <c r="B7" s="12" t="s">
        <v>66</v>
      </c>
      <c r="C7" s="12" t="s">
        <v>67</v>
      </c>
      <c r="D7" s="12" t="s">
        <v>47</v>
      </c>
      <c r="E7" s="12" t="s">
        <v>48</v>
      </c>
      <c r="F7" s="12" t="s">
        <v>63</v>
      </c>
      <c r="G7" s="12" t="s">
        <v>68</v>
      </c>
      <c r="H7" s="12" t="s">
        <v>51</v>
      </c>
      <c r="I7" s="13" t="s">
        <v>278</v>
      </c>
      <c r="J7" s="13"/>
      <c r="K7" s="13"/>
      <c r="L7" s="13"/>
      <c r="M7" s="13"/>
      <c r="N7" s="11" t="s">
        <v>279</v>
      </c>
      <c r="O7" s="11" t="s">
        <v>278</v>
      </c>
    </row>
    <row r="8" spans="1:15" ht="64" customHeight="1">
      <c r="A8" s="12" t="s">
        <v>69</v>
      </c>
      <c r="B8" s="12" t="s">
        <v>70</v>
      </c>
      <c r="C8" s="12" t="s">
        <v>71</v>
      </c>
      <c r="D8" s="12" t="s">
        <v>47</v>
      </c>
      <c r="E8" s="12" t="s">
        <v>48</v>
      </c>
      <c r="F8" s="12" t="s">
        <v>72</v>
      </c>
      <c r="G8" s="12" t="s">
        <v>73</v>
      </c>
      <c r="H8" s="12" t="s">
        <v>51</v>
      </c>
      <c r="I8" s="13" t="s">
        <v>278</v>
      </c>
      <c r="J8" s="13"/>
      <c r="K8" s="13"/>
      <c r="L8" s="13"/>
      <c r="M8" s="13"/>
      <c r="N8" s="11" t="s">
        <v>279</v>
      </c>
      <c r="O8" s="11" t="s">
        <v>278</v>
      </c>
    </row>
    <row r="9" spans="1:15" ht="64" customHeight="1">
      <c r="A9" s="12" t="s">
        <v>74</v>
      </c>
      <c r="B9" s="12" t="s">
        <v>75</v>
      </c>
      <c r="C9" s="12" t="s">
        <v>46</v>
      </c>
      <c r="D9" s="12" t="s">
        <v>47</v>
      </c>
      <c r="E9" s="12" t="s">
        <v>48</v>
      </c>
      <c r="F9" s="12" t="s">
        <v>72</v>
      </c>
      <c r="G9" s="12" t="s">
        <v>76</v>
      </c>
      <c r="H9" s="12" t="s">
        <v>51</v>
      </c>
      <c r="I9" s="13" t="s">
        <v>278</v>
      </c>
      <c r="J9" s="13"/>
      <c r="K9" s="13"/>
      <c r="L9" s="13"/>
      <c r="M9" s="13"/>
      <c r="N9" s="11" t="s">
        <v>279</v>
      </c>
      <c r="O9" s="11" t="s">
        <v>278</v>
      </c>
    </row>
    <row r="10" spans="1:15" ht="64" customHeight="1">
      <c r="A10" s="12" t="s">
        <v>77</v>
      </c>
      <c r="B10" s="12" t="s">
        <v>78</v>
      </c>
      <c r="C10" s="12" t="s">
        <v>79</v>
      </c>
      <c r="D10" s="12" t="s">
        <v>47</v>
      </c>
      <c r="E10" s="12" t="s">
        <v>48</v>
      </c>
      <c r="F10" s="12" t="s">
        <v>80</v>
      </c>
      <c r="G10" s="12" t="s">
        <v>81</v>
      </c>
      <c r="H10" s="12" t="s">
        <v>51</v>
      </c>
      <c r="I10" s="13" t="s">
        <v>278</v>
      </c>
      <c r="J10" s="13"/>
      <c r="K10" s="13"/>
      <c r="L10" s="13"/>
      <c r="M10" s="13"/>
      <c r="N10" s="11" t="s">
        <v>279</v>
      </c>
      <c r="O10" s="11" t="s">
        <v>278</v>
      </c>
    </row>
    <row r="11" spans="1:15" ht="64" customHeight="1">
      <c r="A11" s="12" t="s">
        <v>82</v>
      </c>
      <c r="B11" s="12" t="s">
        <v>83</v>
      </c>
      <c r="C11" s="12" t="s">
        <v>58</v>
      </c>
      <c r="D11" s="12" t="s">
        <v>47</v>
      </c>
      <c r="E11" s="12" t="s">
        <v>48</v>
      </c>
      <c r="F11" s="12" t="s">
        <v>84</v>
      </c>
      <c r="G11" s="12" t="s">
        <v>85</v>
      </c>
      <c r="H11" s="12" t="s">
        <v>51</v>
      </c>
      <c r="I11" s="13" t="s">
        <v>278</v>
      </c>
      <c r="J11" s="13"/>
      <c r="K11" s="13"/>
      <c r="L11" s="13"/>
      <c r="M11" s="13"/>
      <c r="N11" s="11" t="s">
        <v>279</v>
      </c>
      <c r="O11" s="11" t="s">
        <v>278</v>
      </c>
    </row>
    <row r="12" spans="1:15" ht="64" customHeight="1">
      <c r="A12" s="12" t="s">
        <v>86</v>
      </c>
      <c r="B12" s="12" t="s">
        <v>87</v>
      </c>
      <c r="C12" s="12" t="s">
        <v>88</v>
      </c>
      <c r="D12" s="12" t="s">
        <v>47</v>
      </c>
      <c r="E12" s="12" t="s">
        <v>48</v>
      </c>
      <c r="F12" s="12" t="s">
        <v>89</v>
      </c>
      <c r="G12" s="12" t="s">
        <v>90</v>
      </c>
      <c r="H12" s="12" t="s">
        <v>51</v>
      </c>
      <c r="I12" s="13" t="s">
        <v>278</v>
      </c>
      <c r="J12" s="13"/>
      <c r="K12" s="13"/>
      <c r="L12" s="13"/>
      <c r="M12" s="13"/>
      <c r="N12" s="11" t="s">
        <v>279</v>
      </c>
      <c r="O12" s="11" t="s">
        <v>278</v>
      </c>
    </row>
    <row r="13" spans="1:15" ht="64" customHeight="1">
      <c r="A13" s="12" t="s">
        <v>91</v>
      </c>
      <c r="B13" s="12" t="s">
        <v>92</v>
      </c>
      <c r="C13" s="12" t="s">
        <v>93</v>
      </c>
      <c r="D13" s="12" t="s">
        <v>47</v>
      </c>
      <c r="E13" s="12" t="s">
        <v>48</v>
      </c>
      <c r="F13" s="12" t="s">
        <v>84</v>
      </c>
      <c r="G13" s="12" t="s">
        <v>94</v>
      </c>
      <c r="H13" s="12" t="s">
        <v>51</v>
      </c>
      <c r="I13" s="13" t="s">
        <v>278</v>
      </c>
      <c r="J13" s="13"/>
      <c r="K13" s="13"/>
      <c r="L13" s="13"/>
      <c r="M13" s="13"/>
      <c r="N13" s="11" t="s">
        <v>279</v>
      </c>
      <c r="O13" s="11" t="s">
        <v>278</v>
      </c>
    </row>
    <row r="14" spans="1:15" ht="64" customHeight="1">
      <c r="A14" s="12" t="s">
        <v>95</v>
      </c>
      <c r="B14" s="12" t="s">
        <v>96</v>
      </c>
      <c r="C14" s="12" t="s">
        <v>67</v>
      </c>
      <c r="D14" s="12" t="s">
        <v>47</v>
      </c>
      <c r="E14" s="12" t="s">
        <v>48</v>
      </c>
      <c r="F14" s="12" t="s">
        <v>84</v>
      </c>
      <c r="G14" s="12" t="s">
        <v>97</v>
      </c>
      <c r="H14" s="12" t="s">
        <v>51</v>
      </c>
      <c r="I14" s="13" t="s">
        <v>278</v>
      </c>
      <c r="J14" s="13"/>
      <c r="K14" s="13"/>
      <c r="L14" s="13"/>
      <c r="M14" s="13"/>
      <c r="N14" s="11" t="s">
        <v>279</v>
      </c>
      <c r="O14" s="11" t="s">
        <v>278</v>
      </c>
    </row>
    <row r="15" spans="1:15" ht="64" customHeight="1">
      <c r="A15" s="12" t="s">
        <v>98</v>
      </c>
      <c r="B15" s="12" t="s">
        <v>99</v>
      </c>
      <c r="C15" s="12" t="s">
        <v>58</v>
      </c>
      <c r="D15" s="12" t="s">
        <v>47</v>
      </c>
      <c r="E15" s="12" t="s">
        <v>48</v>
      </c>
      <c r="F15" s="12" t="s">
        <v>100</v>
      </c>
      <c r="G15" s="12" t="s">
        <v>101</v>
      </c>
      <c r="H15" s="12" t="s">
        <v>51</v>
      </c>
      <c r="I15" s="13" t="s">
        <v>278</v>
      </c>
      <c r="J15" s="13"/>
      <c r="K15" s="13"/>
      <c r="L15" s="13"/>
      <c r="M15" s="13"/>
      <c r="N15" s="11" t="s">
        <v>279</v>
      </c>
      <c r="O15" s="11" t="s">
        <v>278</v>
      </c>
    </row>
    <row r="16" spans="1:15" ht="64" customHeight="1">
      <c r="A16" s="12" t="s">
        <v>102</v>
      </c>
      <c r="B16" s="12" t="s">
        <v>103</v>
      </c>
      <c r="C16" s="12" t="s">
        <v>104</v>
      </c>
      <c r="D16" s="12" t="s">
        <v>47</v>
      </c>
      <c r="E16" s="12" t="s">
        <v>48</v>
      </c>
      <c r="F16" s="12" t="s">
        <v>100</v>
      </c>
      <c r="G16" s="12" t="s">
        <v>105</v>
      </c>
      <c r="H16" s="12" t="s">
        <v>51</v>
      </c>
      <c r="I16" s="13" t="s">
        <v>278</v>
      </c>
      <c r="J16" s="13"/>
      <c r="K16" s="13"/>
      <c r="L16" s="13"/>
      <c r="M16" s="13"/>
      <c r="N16" s="11" t="s">
        <v>279</v>
      </c>
      <c r="O16" s="11" t="s">
        <v>278</v>
      </c>
    </row>
    <row r="17" spans="1:15" ht="64" customHeight="1">
      <c r="A17" s="12" t="s">
        <v>106</v>
      </c>
      <c r="B17" s="12" t="s">
        <v>107</v>
      </c>
      <c r="C17" s="12" t="s">
        <v>71</v>
      </c>
      <c r="D17" s="12" t="s">
        <v>47</v>
      </c>
      <c r="E17" s="12" t="s">
        <v>48</v>
      </c>
      <c r="F17" s="12" t="s">
        <v>100</v>
      </c>
      <c r="G17" s="12" t="s">
        <v>108</v>
      </c>
      <c r="H17" s="12" t="s">
        <v>51</v>
      </c>
      <c r="I17" s="13" t="s">
        <v>278</v>
      </c>
      <c r="J17" s="13"/>
      <c r="K17" s="13"/>
      <c r="L17" s="13"/>
      <c r="M17" s="13"/>
      <c r="N17" s="11" t="s">
        <v>279</v>
      </c>
      <c r="O17" s="11" t="s">
        <v>278</v>
      </c>
    </row>
    <row r="18" spans="1:15" ht="64" customHeight="1">
      <c r="A18" s="12" t="s">
        <v>109</v>
      </c>
      <c r="B18" s="12" t="s">
        <v>110</v>
      </c>
      <c r="C18" s="12" t="s">
        <v>46</v>
      </c>
      <c r="D18" s="12" t="s">
        <v>47</v>
      </c>
      <c r="E18" s="12" t="s">
        <v>48</v>
      </c>
      <c r="F18" s="12" t="s">
        <v>100</v>
      </c>
      <c r="G18" s="12" t="s">
        <v>111</v>
      </c>
      <c r="H18" s="12" t="s">
        <v>51</v>
      </c>
      <c r="I18" s="13" t="s">
        <v>278</v>
      </c>
      <c r="J18" s="13"/>
      <c r="K18" s="13"/>
      <c r="L18" s="13"/>
      <c r="M18" s="13"/>
      <c r="N18" s="11" t="s">
        <v>279</v>
      </c>
      <c r="O18" s="11" t="s">
        <v>278</v>
      </c>
    </row>
    <row r="19" spans="1:15" ht="64" customHeight="1">
      <c r="A19" s="12" t="s">
        <v>112</v>
      </c>
      <c r="B19" s="12" t="s">
        <v>113</v>
      </c>
      <c r="C19" s="12" t="s">
        <v>114</v>
      </c>
      <c r="D19" s="12" t="s">
        <v>47</v>
      </c>
      <c r="E19" s="12" t="s">
        <v>48</v>
      </c>
      <c r="F19" s="12" t="s">
        <v>115</v>
      </c>
      <c r="G19" s="12" t="s">
        <v>116</v>
      </c>
      <c r="H19" s="12" t="s">
        <v>51</v>
      </c>
      <c r="I19" s="13" t="s">
        <v>278</v>
      </c>
      <c r="J19" s="13"/>
      <c r="K19" s="13"/>
      <c r="L19" s="13"/>
      <c r="M19" s="13"/>
      <c r="N19" s="11" t="s">
        <v>279</v>
      </c>
      <c r="O19" s="11" t="s">
        <v>278</v>
      </c>
    </row>
    <row r="20" spans="1:15" ht="64" customHeight="1">
      <c r="A20" s="12" t="s">
        <v>117</v>
      </c>
      <c r="B20" s="12" t="s">
        <v>118</v>
      </c>
      <c r="C20" s="12" t="s">
        <v>58</v>
      </c>
      <c r="D20" s="12" t="s">
        <v>47</v>
      </c>
      <c r="E20" s="12" t="s">
        <v>48</v>
      </c>
      <c r="F20" s="12" t="s">
        <v>115</v>
      </c>
      <c r="G20" s="12" t="s">
        <v>119</v>
      </c>
      <c r="H20" s="12" t="s">
        <v>51</v>
      </c>
      <c r="I20" s="13" t="s">
        <v>278</v>
      </c>
      <c r="J20" s="13"/>
      <c r="K20" s="13"/>
      <c r="L20" s="13"/>
      <c r="M20" s="13"/>
      <c r="N20" s="11" t="s">
        <v>279</v>
      </c>
      <c r="O20" s="11" t="s">
        <v>278</v>
      </c>
    </row>
    <row r="21" spans="1:15" ht="64" customHeight="1">
      <c r="A21" s="12" t="s">
        <v>120</v>
      </c>
      <c r="B21" s="12" t="s">
        <v>121</v>
      </c>
      <c r="C21" s="12" t="s">
        <v>122</v>
      </c>
      <c r="D21" s="12" t="s">
        <v>47</v>
      </c>
      <c r="E21" s="12" t="s">
        <v>48</v>
      </c>
      <c r="F21" s="12" t="s">
        <v>115</v>
      </c>
      <c r="G21" s="12" t="s">
        <v>123</v>
      </c>
      <c r="H21" s="12" t="s">
        <v>51</v>
      </c>
      <c r="I21" s="13" t="s">
        <v>278</v>
      </c>
      <c r="J21" s="13"/>
      <c r="K21" s="13"/>
      <c r="L21" s="13"/>
      <c r="M21" s="13"/>
      <c r="N21" s="11" t="s">
        <v>279</v>
      </c>
      <c r="O21" s="11" t="s">
        <v>278</v>
      </c>
    </row>
    <row r="22" spans="1:15" ht="64" customHeight="1">
      <c r="A22" s="12" t="s">
        <v>124</v>
      </c>
      <c r="B22" s="12" t="s">
        <v>125</v>
      </c>
      <c r="C22" s="12" t="s">
        <v>126</v>
      </c>
      <c r="D22" s="12" t="s">
        <v>47</v>
      </c>
      <c r="E22" s="12" t="s">
        <v>48</v>
      </c>
      <c r="F22" s="12" t="s">
        <v>115</v>
      </c>
      <c r="G22" s="12" t="s">
        <v>127</v>
      </c>
      <c r="H22" s="12" t="s">
        <v>51</v>
      </c>
      <c r="I22" s="13" t="s">
        <v>278</v>
      </c>
      <c r="J22" s="13"/>
      <c r="K22" s="13"/>
      <c r="L22" s="13"/>
      <c r="M22" s="13"/>
      <c r="N22" s="11" t="s">
        <v>279</v>
      </c>
      <c r="O22" s="11" t="s">
        <v>278</v>
      </c>
    </row>
    <row r="23" spans="1:15" ht="64" customHeight="1">
      <c r="A23" s="12" t="s">
        <v>128</v>
      </c>
      <c r="B23" s="12" t="s">
        <v>129</v>
      </c>
      <c r="C23" s="12" t="s">
        <v>130</v>
      </c>
      <c r="D23" s="12" t="s">
        <v>47</v>
      </c>
      <c r="E23" s="12" t="s">
        <v>48</v>
      </c>
      <c r="F23" s="12" t="s">
        <v>131</v>
      </c>
      <c r="G23" s="12" t="s">
        <v>132</v>
      </c>
      <c r="H23" s="12" t="s">
        <v>51</v>
      </c>
      <c r="I23" s="13" t="s">
        <v>278</v>
      </c>
      <c r="J23" s="13"/>
      <c r="K23" s="13"/>
      <c r="L23" s="13"/>
      <c r="M23" s="13"/>
      <c r="N23" s="11" t="s">
        <v>279</v>
      </c>
      <c r="O23" s="11" t="s">
        <v>278</v>
      </c>
    </row>
    <row r="24" spans="1:15" ht="64" customHeight="1">
      <c r="A24" s="12" t="s">
        <v>133</v>
      </c>
      <c r="B24" s="12" t="s">
        <v>134</v>
      </c>
      <c r="C24" s="12" t="s">
        <v>135</v>
      </c>
      <c r="D24" s="12" t="s">
        <v>47</v>
      </c>
      <c r="E24" s="12" t="s">
        <v>48</v>
      </c>
      <c r="F24" s="12" t="s">
        <v>131</v>
      </c>
      <c r="G24" s="12" t="s">
        <v>136</v>
      </c>
      <c r="H24" s="12" t="s">
        <v>51</v>
      </c>
      <c r="I24" s="13" t="s">
        <v>278</v>
      </c>
      <c r="J24" s="13"/>
      <c r="K24" s="13"/>
      <c r="L24" s="13"/>
      <c r="M24" s="13"/>
      <c r="N24" s="11" t="s">
        <v>279</v>
      </c>
      <c r="O24" s="11" t="s">
        <v>278</v>
      </c>
    </row>
    <row r="25" spans="1:15" ht="64" customHeight="1">
      <c r="A25" s="12" t="s">
        <v>137</v>
      </c>
      <c r="B25" s="12" t="s">
        <v>138</v>
      </c>
      <c r="C25" s="12" t="s">
        <v>139</v>
      </c>
      <c r="D25" s="12" t="s">
        <v>47</v>
      </c>
      <c r="E25" s="12" t="s">
        <v>48</v>
      </c>
      <c r="F25" s="12" t="s">
        <v>140</v>
      </c>
      <c r="G25" s="12" t="s">
        <v>141</v>
      </c>
      <c r="H25" s="12" t="s">
        <v>51</v>
      </c>
      <c r="I25" s="13" t="s">
        <v>278</v>
      </c>
      <c r="J25" s="13"/>
      <c r="K25" s="13"/>
      <c r="L25" s="13"/>
      <c r="M25" s="13"/>
      <c r="N25" s="11" t="s">
        <v>279</v>
      </c>
      <c r="O25" s="11" t="s">
        <v>278</v>
      </c>
    </row>
    <row r="26" spans="1:15" ht="64" customHeight="1">
      <c r="A26" s="12" t="s">
        <v>142</v>
      </c>
      <c r="B26" s="12" t="s">
        <v>143</v>
      </c>
      <c r="C26" s="12" t="s">
        <v>144</v>
      </c>
      <c r="D26" s="12" t="s">
        <v>47</v>
      </c>
      <c r="E26" s="12" t="s">
        <v>48</v>
      </c>
      <c r="F26" s="12" t="s">
        <v>131</v>
      </c>
      <c r="G26" s="12" t="s">
        <v>145</v>
      </c>
      <c r="H26" s="12" t="s">
        <v>51</v>
      </c>
      <c r="I26" s="13" t="s">
        <v>278</v>
      </c>
      <c r="J26" s="13"/>
      <c r="K26" s="13"/>
      <c r="L26" s="13"/>
      <c r="M26" s="13"/>
      <c r="N26" s="11" t="s">
        <v>279</v>
      </c>
      <c r="O26" s="11" t="s">
        <v>278</v>
      </c>
    </row>
    <row r="27" spans="1:15" ht="64" customHeight="1">
      <c r="A27" s="12" t="s">
        <v>146</v>
      </c>
      <c r="B27" s="12" t="s">
        <v>147</v>
      </c>
      <c r="C27" s="12" t="s">
        <v>148</v>
      </c>
      <c r="D27" s="12" t="s">
        <v>47</v>
      </c>
      <c r="E27" s="12" t="s">
        <v>48</v>
      </c>
      <c r="F27" s="12" t="s">
        <v>149</v>
      </c>
      <c r="G27" s="12" t="s">
        <v>150</v>
      </c>
      <c r="H27" s="12" t="s">
        <v>51</v>
      </c>
      <c r="I27" s="13" t="s">
        <v>278</v>
      </c>
      <c r="J27" s="13"/>
      <c r="K27" s="13"/>
      <c r="L27" s="13"/>
      <c r="M27" s="13"/>
      <c r="N27" s="11" t="s">
        <v>279</v>
      </c>
      <c r="O27" s="11" t="s">
        <v>278</v>
      </c>
    </row>
    <row r="28" spans="1:15" ht="64" customHeight="1">
      <c r="A28" s="12" t="s">
        <v>151</v>
      </c>
      <c r="B28" s="12" t="s">
        <v>152</v>
      </c>
      <c r="C28" s="12" t="s">
        <v>54</v>
      </c>
      <c r="D28" s="12" t="s">
        <v>47</v>
      </c>
      <c r="E28" s="12" t="s">
        <v>48</v>
      </c>
      <c r="F28" s="12" t="s">
        <v>149</v>
      </c>
      <c r="G28" s="12" t="s">
        <v>153</v>
      </c>
      <c r="H28" s="12" t="s">
        <v>51</v>
      </c>
      <c r="I28" s="13" t="s">
        <v>278</v>
      </c>
      <c r="J28" s="13"/>
      <c r="K28" s="13"/>
      <c r="L28" s="13"/>
      <c r="M28" s="13"/>
      <c r="N28" s="11" t="s">
        <v>279</v>
      </c>
      <c r="O28" s="11" t="s">
        <v>278</v>
      </c>
    </row>
    <row r="29" spans="1:15" ht="64" customHeight="1">
      <c r="A29" s="12" t="s">
        <v>154</v>
      </c>
      <c r="B29" s="12" t="s">
        <v>155</v>
      </c>
      <c r="C29" s="12" t="s">
        <v>58</v>
      </c>
      <c r="D29" s="12" t="s">
        <v>47</v>
      </c>
      <c r="E29" s="12" t="s">
        <v>48</v>
      </c>
      <c r="F29" s="12" t="s">
        <v>63</v>
      </c>
      <c r="G29" s="12" t="s">
        <v>156</v>
      </c>
      <c r="H29" s="12" t="s">
        <v>51</v>
      </c>
      <c r="I29" s="13" t="s">
        <v>278</v>
      </c>
      <c r="J29" s="13"/>
      <c r="K29" s="13"/>
      <c r="L29" s="13"/>
      <c r="M29" s="13"/>
      <c r="N29" s="11" t="s">
        <v>279</v>
      </c>
      <c r="O29" s="11" t="s">
        <v>278</v>
      </c>
    </row>
    <row r="30" spans="1:15" ht="64" customHeight="1">
      <c r="A30" s="12" t="s">
        <v>157</v>
      </c>
      <c r="B30" s="12" t="s">
        <v>158</v>
      </c>
      <c r="C30" s="12" t="s">
        <v>159</v>
      </c>
      <c r="D30" s="12" t="s">
        <v>47</v>
      </c>
      <c r="E30" s="12" t="s">
        <v>48</v>
      </c>
      <c r="F30" s="12" t="s">
        <v>149</v>
      </c>
      <c r="G30" s="12" t="s">
        <v>160</v>
      </c>
      <c r="H30" s="12" t="s">
        <v>51</v>
      </c>
      <c r="I30" s="13" t="s">
        <v>278</v>
      </c>
      <c r="J30" s="13"/>
      <c r="K30" s="13"/>
      <c r="L30" s="13"/>
      <c r="M30" s="13"/>
      <c r="N30" s="11" t="s">
        <v>279</v>
      </c>
      <c r="O30" s="11" t="s">
        <v>278</v>
      </c>
    </row>
    <row r="31" spans="1:15" ht="64" customHeight="1">
      <c r="A31" s="12" t="s">
        <v>161</v>
      </c>
      <c r="B31" s="12" t="s">
        <v>162</v>
      </c>
      <c r="C31" s="12" t="s">
        <v>163</v>
      </c>
      <c r="D31" s="12" t="s">
        <v>47</v>
      </c>
      <c r="E31" s="12" t="s">
        <v>48</v>
      </c>
      <c r="F31" s="12" t="s">
        <v>164</v>
      </c>
      <c r="G31" s="12" t="s">
        <v>165</v>
      </c>
      <c r="H31" s="12" t="s">
        <v>51</v>
      </c>
      <c r="I31" s="13" t="s">
        <v>278</v>
      </c>
      <c r="J31" s="13"/>
      <c r="K31" s="13"/>
      <c r="L31" s="13"/>
      <c r="M31" s="13"/>
      <c r="N31" s="11" t="s">
        <v>279</v>
      </c>
      <c r="O31" s="11" t="s">
        <v>278</v>
      </c>
    </row>
    <row r="32" spans="1:15" ht="64" customHeight="1">
      <c r="A32" s="12" t="s">
        <v>166</v>
      </c>
      <c r="B32" s="12" t="s">
        <v>167</v>
      </c>
      <c r="C32" s="12" t="s">
        <v>168</v>
      </c>
      <c r="D32" s="12" t="s">
        <v>47</v>
      </c>
      <c r="E32" s="12" t="s">
        <v>48</v>
      </c>
      <c r="F32" s="12" t="s">
        <v>169</v>
      </c>
      <c r="G32" s="12" t="s">
        <v>170</v>
      </c>
      <c r="H32" s="12" t="s">
        <v>51</v>
      </c>
      <c r="I32" s="13" t="s">
        <v>278</v>
      </c>
      <c r="J32" s="13"/>
      <c r="K32" s="13"/>
      <c r="L32" s="13"/>
      <c r="M32" s="13"/>
      <c r="N32" s="11" t="s">
        <v>279</v>
      </c>
      <c r="O32" s="11" t="s">
        <v>278</v>
      </c>
    </row>
    <row r="33" spans="1:15" ht="64" customHeight="1">
      <c r="A33" s="12" t="s">
        <v>171</v>
      </c>
      <c r="B33" s="12" t="s">
        <v>172</v>
      </c>
      <c r="C33" s="12" t="s">
        <v>173</v>
      </c>
      <c r="D33" s="12" t="s">
        <v>47</v>
      </c>
      <c r="E33" s="12" t="s">
        <v>48</v>
      </c>
      <c r="F33" s="12" t="s">
        <v>169</v>
      </c>
      <c r="G33" s="12" t="s">
        <v>174</v>
      </c>
      <c r="H33" s="12" t="s">
        <v>51</v>
      </c>
      <c r="I33" s="13" t="s">
        <v>278</v>
      </c>
      <c r="J33" s="13"/>
      <c r="K33" s="13"/>
      <c r="L33" s="13"/>
      <c r="M33" s="13"/>
      <c r="N33" s="11" t="s">
        <v>279</v>
      </c>
      <c r="O33" s="11" t="s">
        <v>278</v>
      </c>
    </row>
    <row r="34" spans="1:15" ht="64" customHeight="1">
      <c r="A34" s="12" t="s">
        <v>175</v>
      </c>
      <c r="B34" s="12" t="s">
        <v>176</v>
      </c>
      <c r="C34" s="12" t="s">
        <v>177</v>
      </c>
      <c r="D34" s="12" t="s">
        <v>47</v>
      </c>
      <c r="E34" s="12" t="s">
        <v>48</v>
      </c>
      <c r="F34" s="12" t="s">
        <v>164</v>
      </c>
      <c r="G34" s="12" t="s">
        <v>178</v>
      </c>
      <c r="H34" s="12" t="s">
        <v>51</v>
      </c>
      <c r="I34" s="13" t="s">
        <v>278</v>
      </c>
      <c r="J34" s="13"/>
      <c r="K34" s="13"/>
      <c r="L34" s="13"/>
      <c r="M34" s="13"/>
      <c r="N34" s="11" t="s">
        <v>279</v>
      </c>
      <c r="O34" s="11" t="s">
        <v>278</v>
      </c>
    </row>
    <row r="35" spans="1:15" ht="64" customHeight="1">
      <c r="A35" s="12" t="s">
        <v>179</v>
      </c>
      <c r="B35" s="12" t="s">
        <v>180</v>
      </c>
      <c r="C35" s="12" t="s">
        <v>181</v>
      </c>
      <c r="D35" s="12" t="s">
        <v>47</v>
      </c>
      <c r="E35" s="12" t="s">
        <v>48</v>
      </c>
      <c r="F35" s="12" t="s">
        <v>182</v>
      </c>
      <c r="G35" s="12" t="s">
        <v>183</v>
      </c>
      <c r="H35" s="12" t="s">
        <v>51</v>
      </c>
      <c r="I35" s="13" t="s">
        <v>278</v>
      </c>
      <c r="J35" s="13"/>
      <c r="K35" s="13"/>
      <c r="L35" s="13"/>
      <c r="M35" s="13"/>
      <c r="N35" s="11" t="s">
        <v>279</v>
      </c>
      <c r="O35" s="11" t="s">
        <v>278</v>
      </c>
    </row>
    <row r="36" spans="1:15" ht="64" customHeight="1">
      <c r="A36" s="12" t="s">
        <v>184</v>
      </c>
      <c r="B36" s="12" t="s">
        <v>185</v>
      </c>
      <c r="C36" s="12" t="s">
        <v>186</v>
      </c>
      <c r="D36" s="12" t="s">
        <v>47</v>
      </c>
      <c r="E36" s="12" t="s">
        <v>48</v>
      </c>
      <c r="F36" s="12" t="s">
        <v>187</v>
      </c>
      <c r="G36" s="12" t="s">
        <v>188</v>
      </c>
      <c r="H36" s="12" t="s">
        <v>51</v>
      </c>
      <c r="I36" s="13" t="s">
        <v>278</v>
      </c>
      <c r="J36" s="13"/>
      <c r="K36" s="13"/>
      <c r="L36" s="13"/>
      <c r="M36" s="13"/>
      <c r="N36" s="11" t="s">
        <v>279</v>
      </c>
      <c r="O36" s="11" t="s">
        <v>278</v>
      </c>
    </row>
    <row r="37" spans="1:15" ht="64" customHeight="1">
      <c r="A37" s="12" t="s">
        <v>189</v>
      </c>
      <c r="B37" s="12" t="s">
        <v>190</v>
      </c>
      <c r="C37" s="12" t="s">
        <v>58</v>
      </c>
      <c r="D37" s="12" t="s">
        <v>47</v>
      </c>
      <c r="E37" s="12" t="s">
        <v>48</v>
      </c>
      <c r="F37" s="12" t="s">
        <v>191</v>
      </c>
      <c r="G37" s="12" t="s">
        <v>192</v>
      </c>
      <c r="H37" s="12" t="s">
        <v>51</v>
      </c>
      <c r="I37" s="13" t="s">
        <v>278</v>
      </c>
      <c r="J37" s="13"/>
      <c r="K37" s="13"/>
      <c r="L37" s="13"/>
      <c r="M37" s="13"/>
      <c r="N37" s="11" t="s">
        <v>279</v>
      </c>
      <c r="O37" s="11" t="s">
        <v>278</v>
      </c>
    </row>
    <row r="38" spans="1:15" ht="64" customHeight="1">
      <c r="A38" s="12" t="s">
        <v>193</v>
      </c>
      <c r="B38" s="12" t="s">
        <v>194</v>
      </c>
      <c r="C38" s="12" t="s">
        <v>195</v>
      </c>
      <c r="D38" s="12" t="s">
        <v>47</v>
      </c>
      <c r="E38" s="12" t="s">
        <v>48</v>
      </c>
      <c r="F38" s="12" t="s">
        <v>187</v>
      </c>
      <c r="G38" s="12" t="s">
        <v>196</v>
      </c>
      <c r="H38" s="12" t="s">
        <v>51</v>
      </c>
      <c r="I38" s="13" t="s">
        <v>278</v>
      </c>
      <c r="J38" s="13"/>
      <c r="K38" s="13"/>
      <c r="L38" s="13"/>
      <c r="M38" s="13"/>
      <c r="N38" s="11" t="s">
        <v>279</v>
      </c>
      <c r="O38" s="11" t="s">
        <v>278</v>
      </c>
    </row>
    <row r="39" spans="1:15" ht="64" customHeight="1">
      <c r="A39" s="12" t="s">
        <v>197</v>
      </c>
      <c r="B39" s="12" t="s">
        <v>198</v>
      </c>
      <c r="C39" s="12" t="s">
        <v>199</v>
      </c>
      <c r="D39" s="12" t="s">
        <v>47</v>
      </c>
      <c r="E39" s="12" t="s">
        <v>48</v>
      </c>
      <c r="F39" s="12" t="s">
        <v>200</v>
      </c>
      <c r="G39" s="12" t="s">
        <v>201</v>
      </c>
      <c r="H39" s="12" t="s">
        <v>51</v>
      </c>
      <c r="I39" s="13" t="s">
        <v>278</v>
      </c>
      <c r="J39" s="13"/>
      <c r="K39" s="13"/>
      <c r="L39" s="13"/>
      <c r="M39" s="13"/>
      <c r="N39" s="11" t="s">
        <v>279</v>
      </c>
      <c r="O39" s="11" t="s">
        <v>278</v>
      </c>
    </row>
    <row r="40" spans="1:15" ht="64" customHeight="1">
      <c r="A40" s="12" t="s">
        <v>202</v>
      </c>
      <c r="B40" s="12" t="s">
        <v>203</v>
      </c>
      <c r="C40" s="12" t="s">
        <v>204</v>
      </c>
      <c r="D40" s="12" t="s">
        <v>47</v>
      </c>
      <c r="E40" s="12" t="s">
        <v>48</v>
      </c>
      <c r="F40" s="12" t="s">
        <v>89</v>
      </c>
      <c r="G40" s="12" t="s">
        <v>205</v>
      </c>
      <c r="H40" s="12" t="s">
        <v>51</v>
      </c>
      <c r="I40" s="13" t="s">
        <v>278</v>
      </c>
      <c r="J40" s="13"/>
      <c r="K40" s="13"/>
      <c r="L40" s="13"/>
      <c r="M40" s="13"/>
      <c r="N40" s="11" t="s">
        <v>279</v>
      </c>
      <c r="O40" s="11" t="s">
        <v>278</v>
      </c>
    </row>
    <row r="41" spans="1:15" ht="64" customHeight="1">
      <c r="A41" s="12" t="s">
        <v>206</v>
      </c>
      <c r="B41" s="12" t="s">
        <v>207</v>
      </c>
      <c r="C41" s="12" t="s">
        <v>208</v>
      </c>
      <c r="D41" s="12" t="s">
        <v>47</v>
      </c>
      <c r="E41" s="12" t="s">
        <v>48</v>
      </c>
      <c r="F41" s="12" t="s">
        <v>200</v>
      </c>
      <c r="G41" s="12" t="s">
        <v>209</v>
      </c>
      <c r="H41" s="12" t="s">
        <v>51</v>
      </c>
      <c r="I41" s="13" t="s">
        <v>278</v>
      </c>
      <c r="J41" s="13"/>
      <c r="K41" s="13"/>
      <c r="L41" s="13"/>
      <c r="M41" s="13"/>
      <c r="N41" s="11" t="s">
        <v>279</v>
      </c>
      <c r="O41" s="11" t="s">
        <v>278</v>
      </c>
    </row>
    <row r="42" spans="1:15" ht="64" customHeight="1">
      <c r="A42" s="12" t="s">
        <v>210</v>
      </c>
      <c r="B42" s="12" t="s">
        <v>211</v>
      </c>
      <c r="C42" s="12" t="s">
        <v>212</v>
      </c>
      <c r="D42" s="12" t="s">
        <v>47</v>
      </c>
      <c r="E42" s="12" t="s">
        <v>48</v>
      </c>
      <c r="F42" s="12" t="s">
        <v>200</v>
      </c>
      <c r="G42" s="12" t="s">
        <v>213</v>
      </c>
      <c r="H42" s="12" t="s">
        <v>51</v>
      </c>
      <c r="I42" s="13" t="s">
        <v>278</v>
      </c>
      <c r="J42" s="13"/>
      <c r="K42" s="13"/>
      <c r="L42" s="13"/>
      <c r="M42" s="13"/>
      <c r="N42" s="11" t="s">
        <v>279</v>
      </c>
      <c r="O42" s="11" t="s">
        <v>278</v>
      </c>
    </row>
    <row r="43" spans="1:15" ht="64" customHeight="1">
      <c r="A43" s="12" t="s">
        <v>214</v>
      </c>
      <c r="B43" s="12" t="s">
        <v>215</v>
      </c>
      <c r="C43" s="12" t="s">
        <v>216</v>
      </c>
      <c r="D43" s="12" t="s">
        <v>47</v>
      </c>
      <c r="E43" s="12" t="s">
        <v>48</v>
      </c>
      <c r="F43" s="12" t="s">
        <v>217</v>
      </c>
      <c r="G43" s="12" t="s">
        <v>218</v>
      </c>
      <c r="H43" s="12" t="s">
        <v>51</v>
      </c>
      <c r="I43" s="13" t="s">
        <v>278</v>
      </c>
      <c r="J43" s="13"/>
      <c r="K43" s="13"/>
      <c r="L43" s="13"/>
      <c r="M43" s="13"/>
      <c r="N43" s="11" t="s">
        <v>279</v>
      </c>
      <c r="O43" s="11" t="s">
        <v>278</v>
      </c>
    </row>
    <row r="44" spans="1:15" ht="64" customHeight="1">
      <c r="A44" s="12" t="s">
        <v>219</v>
      </c>
      <c r="B44" s="12" t="s">
        <v>220</v>
      </c>
      <c r="C44" s="12" t="s">
        <v>221</v>
      </c>
      <c r="D44" s="12" t="s">
        <v>47</v>
      </c>
      <c r="E44" s="12" t="s">
        <v>48</v>
      </c>
      <c r="F44" s="12" t="s">
        <v>217</v>
      </c>
      <c r="G44" s="12" t="s">
        <v>222</v>
      </c>
      <c r="H44" s="12" t="s">
        <v>51</v>
      </c>
      <c r="I44" s="13" t="s">
        <v>278</v>
      </c>
      <c r="J44" s="13"/>
      <c r="K44" s="13"/>
      <c r="L44" s="13"/>
      <c r="M44" s="13"/>
      <c r="N44" s="11" t="s">
        <v>279</v>
      </c>
      <c r="O44" s="11" t="s">
        <v>278</v>
      </c>
    </row>
    <row r="45" spans="1:15" ht="64" customHeight="1">
      <c r="A45" s="12" t="s">
        <v>223</v>
      </c>
      <c r="B45" s="12" t="s">
        <v>224</v>
      </c>
      <c r="C45" s="12" t="s">
        <v>225</v>
      </c>
      <c r="D45" s="12" t="s">
        <v>47</v>
      </c>
      <c r="E45" s="12" t="s">
        <v>48</v>
      </c>
      <c r="F45" s="12" t="s">
        <v>217</v>
      </c>
      <c r="G45" s="12" t="s">
        <v>226</v>
      </c>
      <c r="H45" s="12" t="s">
        <v>51</v>
      </c>
      <c r="I45" s="13" t="s">
        <v>278</v>
      </c>
      <c r="J45" s="13"/>
      <c r="K45" s="13"/>
      <c r="L45" s="13"/>
      <c r="M45" s="13"/>
      <c r="N45" s="11" t="s">
        <v>279</v>
      </c>
      <c r="O45" s="11" t="s">
        <v>278</v>
      </c>
    </row>
    <row r="46" spans="1:15" ht="64" customHeight="1">
      <c r="A46" s="12" t="s">
        <v>227</v>
      </c>
      <c r="B46" s="12" t="s">
        <v>228</v>
      </c>
      <c r="C46" s="12" t="s">
        <v>229</v>
      </c>
      <c r="D46" s="12" t="s">
        <v>47</v>
      </c>
      <c r="E46" s="12" t="s">
        <v>48</v>
      </c>
      <c r="F46" s="12" t="s">
        <v>230</v>
      </c>
      <c r="G46" s="12" t="s">
        <v>231</v>
      </c>
      <c r="H46" s="12" t="s">
        <v>51</v>
      </c>
      <c r="I46" s="13" t="s">
        <v>278</v>
      </c>
      <c r="J46" s="13"/>
      <c r="K46" s="13"/>
      <c r="L46" s="13"/>
      <c r="M46" s="13"/>
      <c r="N46" s="11" t="s">
        <v>279</v>
      </c>
      <c r="O46" s="11" t="s">
        <v>278</v>
      </c>
    </row>
    <row r="47" spans="1:15" ht="64" customHeight="1">
      <c r="A47" s="12" t="s">
        <v>232</v>
      </c>
      <c r="B47" s="12" t="s">
        <v>233</v>
      </c>
      <c r="C47" s="12" t="s">
        <v>234</v>
      </c>
      <c r="D47" s="12" t="s">
        <v>235</v>
      </c>
      <c r="E47" s="12"/>
      <c r="F47" s="12"/>
      <c r="G47" s="12" t="s">
        <v>236</v>
      </c>
      <c r="H47" s="12" t="s">
        <v>51</v>
      </c>
      <c r="I47" s="13" t="s">
        <v>278</v>
      </c>
      <c r="J47" s="13"/>
      <c r="K47" s="13"/>
      <c r="L47" s="13"/>
      <c r="M47" s="13"/>
      <c r="N47" s="11" t="s">
        <v>279</v>
      </c>
      <c r="O47" s="11" t="s">
        <v>278</v>
      </c>
    </row>
    <row r="48" spans="1:15" ht="64" customHeight="1">
      <c r="A48" s="12" t="s">
        <v>237</v>
      </c>
      <c r="B48" s="12" t="s">
        <v>238</v>
      </c>
      <c r="C48" s="12" t="s">
        <v>239</v>
      </c>
      <c r="D48" s="12" t="s">
        <v>235</v>
      </c>
      <c r="E48" s="12"/>
      <c r="F48" s="12"/>
      <c r="G48" s="12" t="s">
        <v>240</v>
      </c>
      <c r="H48" s="12" t="s">
        <v>51</v>
      </c>
      <c r="I48" s="13" t="s">
        <v>278</v>
      </c>
      <c r="J48" s="13"/>
      <c r="K48" s="13"/>
      <c r="L48" s="13"/>
      <c r="M48" s="13"/>
      <c r="N48" s="11" t="s">
        <v>279</v>
      </c>
      <c r="O48" s="11" t="s">
        <v>278</v>
      </c>
    </row>
    <row r="49" spans="1:15" ht="64" customHeight="1">
      <c r="A49" s="12" t="s">
        <v>241</v>
      </c>
      <c r="B49" s="12" t="s">
        <v>242</v>
      </c>
      <c r="C49" s="12" t="s">
        <v>243</v>
      </c>
      <c r="D49" s="12" t="s">
        <v>235</v>
      </c>
      <c r="E49" s="12"/>
      <c r="F49" s="12"/>
      <c r="G49" s="12" t="s">
        <v>244</v>
      </c>
      <c r="H49" s="12" t="s">
        <v>51</v>
      </c>
      <c r="I49" s="13" t="s">
        <v>278</v>
      </c>
      <c r="J49" s="13"/>
      <c r="K49" s="13"/>
      <c r="L49" s="13"/>
      <c r="M49" s="13"/>
      <c r="N49" s="11" t="s">
        <v>279</v>
      </c>
      <c r="O49" s="11" t="s">
        <v>278</v>
      </c>
    </row>
    <row r="50" spans="1:15" ht="64" customHeight="1">
      <c r="A50" s="14" t="s">
        <v>245</v>
      </c>
      <c r="B50" s="14" t="s">
        <v>246</v>
      </c>
      <c r="C50" s="14" t="s">
        <v>239</v>
      </c>
      <c r="D50" s="14" t="s">
        <v>235</v>
      </c>
      <c r="E50" s="14"/>
      <c r="F50" s="14"/>
      <c r="G50" s="14" t="s">
        <v>247</v>
      </c>
      <c r="H50" s="14" t="s">
        <v>51</v>
      </c>
      <c r="I50" s="15" t="s">
        <v>278</v>
      </c>
      <c r="J50" s="15"/>
      <c r="K50" s="15"/>
      <c r="L50" s="15"/>
      <c r="M50" s="15"/>
      <c r="N50" s="11" t="s">
        <v>279</v>
      </c>
      <c r="O50" s="11" t="s">
        <v>278</v>
      </c>
    </row>
  </sheetData>
  <mergeCells count="1">
    <mergeCell ref="A1:O1"/>
  </mergeCells>
  <phoneticPr fontId="11" type="noConversion"/>
  <conditionalFormatting sqref="I3:I50">
    <cfRule type="expression" dxfId="8" priority="4">
      <formula>$I3="确认"</formula>
    </cfRule>
    <cfRule type="expression" dxfId="7" priority="5">
      <formula>$I3="需修改"</formula>
    </cfRule>
  </conditionalFormatting>
  <conditionalFormatting sqref="O3:O50">
    <cfRule type="containsText" dxfId="6" priority="6" operator="containsText" text="可转金标"/>
    <cfRule type="containsText" dxfId="5" priority="7" operator="containsText" text="缺少"/>
    <cfRule type="containsText" dxfId="4" priority="9" operator="containsText" text="待确认"/>
  </conditionalFormatting>
  <conditionalFormatting sqref="N3:N50">
    <cfRule type="containsText" dxfId="3" priority="1" operator="containsText" text="可转金标"/>
    <cfRule type="containsText" dxfId="2" priority="2" operator="containsText" text="缺少"/>
    <cfRule type="containsText" dxfId="1" priority="3" operator="containsText" text="待确认"/>
  </conditionalFormatting>
  <dataValidations count="2">
    <dataValidation type="list" sqref="I3:I50" xr:uid="{00000000-0002-0000-0100-000000000000}">
      <formula1>"待确认,确认,需修改"</formula1>
    </dataValidation>
    <dataValidation type="list" sqref="J3:J50" xr:uid="{00000000-0002-0000-0100-000001000000}">
      <formula1>"TRUE,FALSE"</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showGridLines="0" topLeftCell="A2" workbookViewId="0">
      <selection sqref="A1:D1"/>
    </sheetView>
  </sheetViews>
  <sheetFormatPr baseColWidth="10" defaultColWidth="8.83203125" defaultRowHeight="14"/>
  <cols>
    <col min="1" max="2" width="28" customWidth="1"/>
    <col min="3" max="3" width="62" customWidth="1"/>
    <col min="4" max="4" width="66" customWidth="1"/>
  </cols>
  <sheetData>
    <row r="1" spans="1:4" ht="34" customHeight="1">
      <c r="A1" s="27" t="s">
        <v>248</v>
      </c>
      <c r="B1" s="27"/>
      <c r="C1" s="27"/>
      <c r="D1" s="27"/>
    </row>
    <row r="2" spans="1:4" ht="15">
      <c r="A2" s="28" t="s">
        <v>249</v>
      </c>
      <c r="B2" s="28"/>
      <c r="C2" s="28"/>
      <c r="D2" s="28"/>
    </row>
    <row r="4" spans="1:4" ht="15">
      <c r="A4" s="16" t="s">
        <v>250</v>
      </c>
      <c r="B4" s="16" t="s">
        <v>251</v>
      </c>
      <c r="C4" s="16" t="s">
        <v>252</v>
      </c>
      <c r="D4" s="16" t="s">
        <v>253</v>
      </c>
    </row>
    <row r="5" spans="1:4" ht="44" customHeight="1">
      <c r="A5" s="17" t="s">
        <v>49</v>
      </c>
      <c r="B5" s="17" t="s">
        <v>254</v>
      </c>
      <c r="C5" s="17" t="s">
        <v>255</v>
      </c>
      <c r="D5" s="17" t="s">
        <v>23</v>
      </c>
    </row>
    <row r="6" spans="1:4" ht="44" customHeight="1">
      <c r="A6" s="18" t="s">
        <v>72</v>
      </c>
      <c r="B6" s="18" t="s">
        <v>256</v>
      </c>
      <c r="C6" s="18" t="s">
        <v>257</v>
      </c>
      <c r="D6" s="18" t="s">
        <v>23</v>
      </c>
    </row>
    <row r="7" spans="1:4" ht="44" customHeight="1">
      <c r="A7" s="18" t="s">
        <v>84</v>
      </c>
      <c r="B7" s="18" t="s">
        <v>258</v>
      </c>
      <c r="C7" s="18" t="s">
        <v>259</v>
      </c>
      <c r="D7" s="18" t="s">
        <v>23</v>
      </c>
    </row>
    <row r="8" spans="1:4" ht="44" customHeight="1">
      <c r="A8" s="18" t="s">
        <v>100</v>
      </c>
      <c r="B8" s="18" t="s">
        <v>260</v>
      </c>
      <c r="C8" s="18" t="s">
        <v>261</v>
      </c>
      <c r="D8" s="18" t="s">
        <v>23</v>
      </c>
    </row>
    <row r="9" spans="1:4" ht="44" customHeight="1">
      <c r="A9" s="18" t="s">
        <v>115</v>
      </c>
      <c r="B9" s="18" t="s">
        <v>262</v>
      </c>
      <c r="C9" s="18" t="s">
        <v>263</v>
      </c>
      <c r="D9" s="18" t="s">
        <v>23</v>
      </c>
    </row>
    <row r="10" spans="1:4" ht="44" customHeight="1">
      <c r="A10" s="18" t="s">
        <v>131</v>
      </c>
      <c r="B10" s="18" t="s">
        <v>264</v>
      </c>
      <c r="C10" s="18" t="s">
        <v>265</v>
      </c>
      <c r="D10" s="18" t="s">
        <v>23</v>
      </c>
    </row>
    <row r="11" spans="1:4" ht="44" customHeight="1">
      <c r="A11" s="18" t="s">
        <v>149</v>
      </c>
      <c r="B11" s="18" t="s">
        <v>266</v>
      </c>
      <c r="C11" s="18" t="s">
        <v>267</v>
      </c>
      <c r="D11" s="18" t="s">
        <v>23</v>
      </c>
    </row>
    <row r="12" spans="1:4" ht="44" customHeight="1">
      <c r="A12" s="18" t="s">
        <v>169</v>
      </c>
      <c r="B12" s="18" t="s">
        <v>268</v>
      </c>
      <c r="C12" s="18" t="s">
        <v>269</v>
      </c>
      <c r="D12" s="18" t="s">
        <v>23</v>
      </c>
    </row>
    <row r="13" spans="1:4" ht="44" customHeight="1">
      <c r="A13" s="18" t="s">
        <v>187</v>
      </c>
      <c r="B13" s="18" t="s">
        <v>270</v>
      </c>
      <c r="C13" s="18" t="s">
        <v>271</v>
      </c>
      <c r="D13" s="18" t="s">
        <v>23</v>
      </c>
    </row>
    <row r="14" spans="1:4" ht="44" customHeight="1">
      <c r="A14" s="18" t="s">
        <v>200</v>
      </c>
      <c r="B14" s="18" t="s">
        <v>272</v>
      </c>
      <c r="C14" s="18" t="s">
        <v>273</v>
      </c>
      <c r="D14" s="18" t="s">
        <v>23</v>
      </c>
    </row>
    <row r="15" spans="1:4" ht="44" customHeight="1">
      <c r="A15" s="18" t="s">
        <v>217</v>
      </c>
      <c r="B15" s="18" t="s">
        <v>274</v>
      </c>
      <c r="C15" s="18" t="s">
        <v>275</v>
      </c>
      <c r="D15" s="18" t="s">
        <v>23</v>
      </c>
    </row>
    <row r="16" spans="1:4" ht="44" customHeight="1">
      <c r="A16" s="19" t="s">
        <v>230</v>
      </c>
      <c r="B16" s="19" t="s">
        <v>276</v>
      </c>
      <c r="C16" s="19" t="s">
        <v>277</v>
      </c>
      <c r="D16" s="19" t="s">
        <v>23</v>
      </c>
    </row>
  </sheetData>
  <mergeCells count="2">
    <mergeCell ref="A1:D1"/>
    <mergeCell ref="A2:D2"/>
  </mergeCells>
  <phoneticPr fontId="1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审核说明</vt:lpstr>
      <vt:lpstr>AI候选标注</vt:lpstr>
      <vt:lpstr>Locator说明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zhengwenze</cp:lastModifiedBy>
  <dcterms:modified xsi:type="dcterms:W3CDTF">2026-07-23T10:00:24Z</dcterms:modified>
</cp:coreProperties>
</file>