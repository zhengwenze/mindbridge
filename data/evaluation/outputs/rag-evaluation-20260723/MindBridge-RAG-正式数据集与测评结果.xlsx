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8934210f0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评总览" sheetId="1" r:id="Ra7ab1640de0744f7"/>
    <x:sheet xmlns:r="http://schemas.openxmlformats.org/officeDocument/2006/relationships" name="正样本金标" sheetId="2" r:id="Re4a813990f79400a"/>
    <x:sheet xmlns:r="http://schemas.openxmlformats.org/officeDocument/2006/relationships" name="负样本" sheetId="3" r:id="R10c5597181914bdf"/>
    <x:sheet xmlns:r="http://schemas.openxmlformats.org/officeDocument/2006/relationships" name="查询结果" sheetId="4" r:id="R48e2b01bf7e9431a"/>
    <x:sheet xmlns:r="http://schemas.openxmlformats.org/officeDocument/2006/relationships" name="实验配置" sheetId="5" r:id="R30d20a9b775f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&quot;（否）&quot;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183042"/>
      <x:name val="Carlito"/>
    </x:font>
    <x:font>
      <x:b/>
      <x:sz val="18"/>
      <x:color rgb="FF123B5D"/>
      <x:name val="Carlito"/>
    </x:font>
    <x:font>
      <x:b/>
      <x:sz val="14"/>
      <x:color rgb="FF123B5D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  <x:font>
      <x:i/>
      <x:sz val="11"/>
      <x:color rgb="FF536878"/>
      <x:name val="Carlito"/>
    </x:font>
    <x:font>
      <x:b/>
      <x:sz val="16"/>
      <x:color rgb="FFFFFFFF"/>
      <x:name val="Carlito"/>
    </x:font>
    <x:font>
      <x:sz val="11"/>
      <x:color rgb="FF18304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2CC"/>
      </x:patternFill>
    </x:fill>
    <x:fill>
      <x:patternFill patternType="solid">
        <x:fgColor rgb="FFDCEAF5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</x:fills>
  <x:borders count="4">
    <x:border/>
    <x:border>
      <x:bottom style="thin">
        <x:color rgb="FFC9D6DF"/>
      </x:bottom>
    </x:border>
    <x:border>
      <x:top style="thin">
        <x:color rgb="FFC9D6DF"/>
      </x:top>
      <x:bottom style="thin">
        <x:color rgb="FFC9D6DF"/>
      </x:bottom>
    </x:border>
    <x:border>
      <x:top style="thin">
        <x:color rgb="FFC9D6DF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200" fontId="10" fillId="0" borderId="2" xfId="0" applyNumberFormat="1" applyFont="1" applyFill="1" applyBorder="1" applyAlignment="1">
      <x:alignment vertical="top" wrapText="1"/>
    </x:xf>
    <x:xf numFmtId="200" fontId="1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0a3c268f74937" /><Relationship Type="http://schemas.openxmlformats.org/officeDocument/2006/relationships/theme" Target="/xl/theme/theme1.xml" Id="R7448ad8c0d1d48a5" /><Relationship Type="http://schemas.openxmlformats.org/officeDocument/2006/relationships/sharedStrings" Target="/xl/sharedStrings.xml" Id="R4b5cbed42e3c4581" /><Relationship Type="http://schemas.openxmlformats.org/officeDocument/2006/relationships/worksheet" Target="/xl/worksheets/sheet1.xml" Id="Ra7ab1640de0744f7" /><Relationship Type="http://schemas.openxmlformats.org/officeDocument/2006/relationships/worksheet" Target="/xl/worksheets/sheet2.xml" Id="Re4a813990f79400a" /><Relationship Type="http://schemas.openxmlformats.org/officeDocument/2006/relationships/worksheet" Target="/xl/worksheets/sheet3.xml" Id="R10c5597181914bdf" /><Relationship Type="http://schemas.openxmlformats.org/officeDocument/2006/relationships/worksheet" Target="/xl/worksheets/sheet4.xml" Id="R48e2b01bf7e9431a" /><Relationship Type="http://schemas.openxmlformats.org/officeDocument/2006/relationships/worksheet" Target="/xl/worksheets/sheet5.xml" Id="R30d20a9b775f4e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085dbe0af546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正式测评指标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得分</c:v>
          </c:tx>
          <c:cat>
            <c:strRef>
              <c:f>'测评总览'!$A$17:$A$20</c:f>
              <c:strCache>
                <c:ptCount val="0"/>
              </c:strCache>
            </c:strRef>
          </c:cat>
          <c:val>
            <c:numRef>
              <c:f>'测评总览'!$B$17:$B$20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85dbe0af546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rmalGoldTable" displayName="FormalGoldTable" ref="A3:G47" headerRowCount="1" totalsRowCount="0" totalsRowShown="0">
  <x:tableColumns count="7">
    <x:tableColumn id="1" name="ID"/>
    <x:tableColumn id="2" name="问题"/>
    <x:tableColumn id="3" name="审核人"/>
    <x:tableColumn id="4" name="状态"/>
    <x:tableColumn id="5" name="相关来源"/>
    <x:tableColumn id="6" name="相关Locators"/>
    <x:tableColumn id="7" name="相关项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gativeRoutingTable" displayName="NegativeRoutingTable" ref="A3:H7" headerRowCount="1" totalsRowCount="0" totalsRowShown="0">
  <x:tableColumns count="8">
    <x:tableColumn id="1" name="ID"/>
    <x:tableColumn id="2" name="问题"/>
    <x:tableColumn id="3" name="类别"/>
    <x:tableColumn id="4" name="审核人"/>
    <x:tableColumn id="5" name="预期检索"/>
    <x:tableColumn id="6" name="预测意图"/>
    <x:tableColumn id="7" name="预测检索"/>
    <x:tableColumn id="8" name="误检索标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QueryResultTable" displayName="PerQueryResultTable" ref="A3:J47" headerRowCount="1" totalsRowCount="0" totalsRowShown="0">
  <x:tableColumns count="10">
    <x:tableColumn id="1" name="ID"/>
    <x:tableColumn id="2" name="问题"/>
    <x:tableColumn id="3" name="Recall@4"/>
    <x:tableColumn id="4" name="RR@4"/>
    <x:tableColumn id="5" name="Hit@4"/>
    <x:tableColumn id="6" name="首个相关排名"/>
    <x:tableColumn id="7" name="预期Locators"/>
    <x:tableColumn id="8" name="状态"/>
    <x:tableColumn id="9" name="覆盖Locators"/>
    <x:tableColumn id="10" name="Top4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ConfigTable" displayName="ExperimentConfigTable" ref="A3:D28" headerRowCount="1" totalsRowCount="0" totalsRowShown="0">
  <x:tableColumns count="4">
    <x:tableColumn id="1" name="类别"/>
    <x:tableColumn id="2" name="字段"/>
    <x:tableColumn id="3" name="值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cdd9d278ea4c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13d29c54f64d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5dad6fc860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d91eabbc9940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f8492c35eb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3" t="str">
        <x:v>MindBridge RAG 正式数据集与测评结果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真实 MySQL + Chroma + qwen3-embedding:0.6b；主测显式限定校园心理咨询政策库，负样本单独评估是否错误进入 KnowledgeAgent。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Recall@4</x:v>
      </x:c>
      <x:c r="B4" s="10" t="str"/>
      <x:c r="C4" s="10" t="str">
        <x:v>MRR@4</x:v>
      </x:c>
      <x:c r="D4" s="10" t="str"/>
      <x:c r="E4" s="10" t="str">
        <x:v>Hit Rate@4</x:v>
      </x:c>
      <x:c r="F4" s="10" t="str"/>
      <x:c r="G4" s="10" t="str">
        <x:v>路由准确率</x:v>
      </x:c>
      <x:c r="H4" s="10" t="str"/>
    </x:row>
    <x:row r="5" ht="34" customHeight="1">
      <x:c r="A5" s="14" t="n">
        <x:f>AVERAGE('查询结果'!C4:C47)</x:f>
        <x:v>0.9772727272727273</x:v>
      </x:c>
      <x:c r="B5" s="13"/>
      <x:c r="C5" s="14" t="n">
        <x:f>AVERAGE('查询结果'!D4:D47)</x:f>
        <x:v>0.9090909090909091</x:v>
      </x:c>
      <x:c r="D5" s="13"/>
      <x:c r="E5" s="14" t="n">
        <x:f>AVERAGE('查询结果'!E4:E47)</x:f>
        <x:v>0.9772727272727273</x:v>
      </x:c>
      <x:c r="F5" s="13"/>
      <x:c r="G5" s="14" t="n">
        <x:f>1-AVERAGE('负样本'!H4:H7)</x:f>
        <x:v>1</x:v>
      </x:c>
      <x:c r="H5" s="13"/>
    </x:row>
    <x:row r="7">
      <x:c r="A7" s="10" t="str">
        <x:v>正样本</x:v>
      </x:c>
      <x:c r="B7" s="10" t="str"/>
      <x:c r="C7" s="10" t="str">
        <x:v>负样本</x:v>
      </x:c>
      <x:c r="D7" s="10" t="str"/>
      <x:c r="E7" s="10" t="str">
        <x:v>主测唯一未命中</x:v>
      </x:c>
      <x:c r="F7" s="10" t="str"/>
      <x:c r="G7" s="10" t="str">
        <x:v>审核方式</x:v>
      </x:c>
      <x:c r="H7" s="10" t="str"/>
    </x:row>
    <x:row r="8">
      <x:c r="A8" s="16" t="n">
        <x:f>COUNTA('正样本金标'!A4:A47)</x:f>
        <x:v>44</x:v>
      </x:c>
      <x:c r="B8" s="16"/>
      <x:c r="C8" s="16" t="n">
        <x:f>COUNTA('负样本'!A4:A7)</x:f>
        <x:v>4</x:v>
      </x:c>
      <x:c r="D8" s="16"/>
      <x:c r="E8" s="16" t="n">
        <x:f>COUNTIF('查询结果'!H4:H47,"未命中")</x:f>
        <x:v>1</x:v>
      </x:c>
      <x:c r="F8" s="16"/>
      <x:c r="G8" s="16" t="str">
        <x:v>单人审核（郑文泽）</x:v>
      </x:c>
      <x:c r="H8" s="16"/>
    </x:row>
    <x:row r="10">
      <x:c r="A10" s="18" t="str">
        <x:v>指标</x:v>
      </x:c>
      <x:c r="B10" s="18" t="str">
        <x:v>实测值</x:v>
      </x:c>
      <x:c r="C10" s="18" t="str">
        <x:v>参考门槛</x:v>
      </x:c>
      <x:c r="D10" s="18" t="str">
        <x:v>结论</x:v>
      </x:c>
      <x:c r="E10" t="str"/>
      <x:c r="F10" s="18" t="str">
        <x:v>未命中案例</x:v>
      </x:c>
      <x:c r="G10" s="18" t="str"/>
      <x:c r="H10" s="18" t="str"/>
    </x:row>
    <x:row r="11">
      <x:c r="A11" s="20" t="str">
        <x:v>Recall@4</x:v>
      </x:c>
      <x:c r="B11" s="21" t="n">
        <x:f>A5</x:f>
        <x:v>0.9772727272727273</x:v>
      </x:c>
      <x:c r="C11" s="21" t="n">
        <x:v>0.95</x:v>
      </x:c>
      <x:c r="D11" s="20" t="str">
        <x:f>IF(B11&gt;=C11,"通过","未通过")</x:f>
        <x:v>通过</x:v>
      </x:c>
      <x:c r="F11" s="29" t="str">
        <x:v>policy-034：投诉心理咨询服务会不会影响以后继续预约？
目标：POLICY-RIGHTS-009</x:v>
      </x:c>
      <x:c r="G11" s="29"/>
      <x:c r="H11" s="29"/>
    </x:row>
    <x:row r="12">
      <x:c r="A12" s="22" t="str">
        <x:v>MRR@4</x:v>
      </x:c>
      <x:c r="B12" s="23" t="n">
        <x:f>C5</x:f>
        <x:v>0.9090909090909091</x:v>
      </x:c>
      <x:c r="C12" s="23" t="n">
        <x:v>0.75</x:v>
      </x:c>
      <x:c r="D12" s="22" t="str">
        <x:f>IF(B12&gt;=C12,"通过","未通过")</x:f>
        <x:v>通过</x:v>
      </x:c>
      <x:c r="F12" s="29"/>
      <x:c r="G12" s="29"/>
      <x:c r="H12" s="29"/>
    </x:row>
    <x:row r="13">
      <x:c r="A13" s="22" t="str">
        <x:v>Hit Rate@4</x:v>
      </x:c>
      <x:c r="B13" s="23" t="n">
        <x:f>E5</x:f>
        <x:v>0.9772727272727273</x:v>
      </x:c>
      <x:c r="C13" s="23" t="n">
        <x:v>0.95</x:v>
      </x:c>
      <x:c r="D13" s="22" t="str">
        <x:f>IF(B13&gt;=C13,"通过","未通过")</x:f>
        <x:v>通过</x:v>
      </x:c>
      <x:c r="F13" s="29"/>
      <x:c r="G13" s="29"/>
      <x:c r="H13" s="29"/>
    </x:row>
    <x:row r="14">
      <x:c r="A14" s="24" t="str">
        <x:v>路由准确率</x:v>
      </x:c>
      <x:c r="B14" s="25" t="n">
        <x:f>G5</x:f>
        <x:v>1</x:v>
      </x:c>
      <x:c r="C14" s="25" t="n">
        <x:v>1</x:v>
      </x:c>
      <x:c r="D14" s="24" t="str">
        <x:f>IF(B14&gt;=C14,"通过","未通过")</x:f>
        <x:v>通过</x:v>
      </x:c>
      <x:c r="F14" s="32" t="str">
        <x:v>详情见“查询结果”工作表</x:v>
      </x:c>
      <x:c r="G14" s="32"/>
      <x:c r="H14" s="32"/>
    </x:row>
    <x:row r="16">
      <x:c r="A16" s="17" t="str">
        <x:v>指标</x:v>
      </x:c>
      <x:c r="B16" s="17" t="str">
        <x:v>得分</x:v>
      </x:c>
    </x:row>
    <x:row r="17">
      <x:c r="A17" t="str">
        <x:v>Recall@4</x:v>
      </x:c>
      <x:c r="B17" s="19" t="n">
        <x:v>0.9772727272727273</x:v>
      </x:c>
    </x:row>
    <x:row r="18">
      <x:c r="A18" t="str">
        <x:v>MRR@4</x:v>
      </x:c>
      <x:c r="B18" s="19" t="n">
        <x:v>0.9090909090909091</x:v>
      </x:c>
    </x:row>
    <x:row r="19">
      <x:c r="A19" t="str">
        <x:v>Hit Rate@4</x:v>
      </x:c>
      <x:c r="B19" s="19" t="n">
        <x:v>0.9772727272727273</x:v>
      </x:c>
    </x:row>
    <x:row r="20">
      <x:c r="A20" t="str">
        <x:v>路由准确率</x:v>
      </x:c>
      <x:c r="B20" s="19" t="n">
        <x:v>1</x:v>
      </x:c>
    </x:row>
  </x:sheetData>
  <x:mergeCells>
    <x:mergeCell ref="A1:H1"/>
    <x:mergeCell ref="A2:H2"/>
    <x:mergeCell ref="F10:H10"/>
    <x:mergeCell ref="F11:H13"/>
    <x:mergeCell ref="F14:H14"/>
  </x:mergeCells>
  <x:conditionalFormatting sqref="D11:D14">
    <x:cfRule type="expression" dxfId="0" priority="1">
      <x:formula>$D11="通过"</x:formula>
    </x:cfRule>
    <x:cfRule type="expression" dxfId="1" priority="2">
      <x:formula>$D11="未通过"</x:formula>
    </x:cfRule>
  </x:conditionalFormatting>
  <x:pageMargins left="0.7" right="0.7" top="0.75" bottom="0.75" header="0.3" footer="0.3"/>
  <x:drawing xmlns:r="http://schemas.openxmlformats.org/officeDocument/2006/relationships" r:id="R2ccdd9d278ea4c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16" hidden="0" customWidth="1"/>
    <x:col min="4" max="4" width="16" hidden="0" customWidth="1"/>
    <x:col min="5" max="5" width="48" hidden="0" customWidth="1"/>
    <x:col min="6" max="6" width="42" hidden="0" customWidth="1"/>
    <x:col min="7" max="7" width="12" hidden="0" customWidth="1"/>
  </x:cols>
  <x:sheetData>
    <x:row r="1">
      <x:c r="A1" s="33" t="str">
        <x:v>正式正样本金标（44条）</x:v>
      </x:c>
      <x:c r="B1" s="33"/>
      <x:c r="C1" s="33"/>
      <x:c r="D1" s="33"/>
      <x:c r="E1" s="33"/>
      <x:c r="F1" s="33"/>
      <x:c r="G1" s="33"/>
    </x:row>
    <x:row r="2">
      <x:c r="A2" s="5" t="str">
        <x:v>仅包含应该检索的正样本；多个相关Locator均进入qrels。负样本不进入Recall/MRR/Hit Rate分母。</x:v>
      </x:c>
      <x:c r="B2" s="5"/>
      <x:c r="C2" s="5"/>
      <x:c r="D2" s="5"/>
      <x:c r="E2" s="5"/>
      <x:c r="F2" s="5"/>
      <x:c r="G2" s="5"/>
    </x:row>
    <x:row r="3">
      <x:c r="A3" s="18" t="str">
        <x:v>ID</x:v>
      </x:c>
      <x:c r="B3" s="18" t="str">
        <x:v>问题</x:v>
      </x:c>
      <x:c r="C3" s="18" t="str">
        <x:v>审核人</x:v>
      </x:c>
      <x:c r="D3" s="18" t="str">
        <x:v>状态</x:v>
      </x:c>
      <x:c r="E3" s="18" t="str">
        <x:v>相关来源</x:v>
      </x:c>
      <x:c r="F3" s="18" t="str">
        <x:v>相关Locators</x:v>
      </x:c>
      <x:c r="G3" s="18" t="str">
        <x:v>相关项数</x:v>
      </x:c>
    </x:row>
    <x:row r="4" ht="42" customHeight="1">
      <x:c r="A4" s="37" t="str">
        <x:v>policy-001</x:v>
      </x:c>
      <x:c r="B4" s="37" t="str">
        <x:v>我只是最近学习压力很大，也可以预约心理咨询吗？</x:v>
      </x:c>
      <x:c r="C4" s="37" t="str">
        <x:v>郑文泽</x:v>
      </x:c>
      <x:c r="D4" s="37" t="str">
        <x:v>APPROVED</x:v>
      </x:c>
      <x:c r="E4" s="37" t="str">
        <x:v>policies/campus-counseling-policy-general-guide.md</x:v>
      </x:c>
      <x:c r="F4" s="37" t="str">
        <x:v>POLICY-SCOPE-001</x:v>
      </x:c>
      <x:c r="G4" s="37" t="n">
        <x:v>1</x:v>
      </x:c>
    </x:row>
    <x:row r="5" ht="42" customHeight="1">
      <x:c r="A5" s="38" t="str">
        <x:v>policy-002</x:v>
      </x:c>
      <x:c r="B5" s="38" t="str">
        <x:v>是不是一定要有很严重的心理问题才能去学校心理中心？</x:v>
      </x:c>
      <x:c r="C5" s="38" t="str">
        <x:v>郑文泽</x:v>
      </x:c>
      <x:c r="D5" s="38" t="str">
        <x:v>APPROVED</x:v>
      </x:c>
      <x:c r="E5" s="38" t="str">
        <x:v>policies/campus-counseling-policy-general-guide.md</x:v>
      </x:c>
      <x:c r="F5" s="38" t="str">
        <x:v>POLICY-SCOPE-001</x:v>
      </x:c>
      <x:c r="G5" s="38" t="n">
        <x:v>1</x:v>
      </x:c>
    </x:row>
    <x:row r="6" ht="42" customHeight="1">
      <x:c r="A6" s="38" t="str">
        <x:v>policy-003</x:v>
      </x:c>
      <x:c r="B6" s="38" t="str">
        <x:v>校园心理咨询主要能帮学生处理哪些事情？</x:v>
      </x:c>
      <x:c r="C6" s="38" t="str">
        <x:v>郑文泽</x:v>
      </x:c>
      <x:c r="D6" s="38" t="str">
        <x:v>APPROVED</x:v>
      </x:c>
      <x:c r="E6" s="38" t="str">
        <x:v>policies/campus-counseling-policy-general-guide.md</x:v>
      </x:c>
      <x:c r="F6" s="38" t="str">
        <x:v>POLICY-SCOPE-001</x:v>
      </x:c>
      <x:c r="G6" s="38" t="n">
        <x:v>1</x:v>
      </x:c>
    </x:row>
    <x:row r="7" ht="42" customHeight="1">
      <x:c r="A7" s="38" t="str">
        <x:v>policy-004</x:v>
      </x:c>
      <x:c r="B7" s="38" t="str">
        <x:v>心理咨询老师能不能诊断抑郁症或者给我开药？</x:v>
      </x:c>
      <x:c r="C7" s="38" t="str">
        <x:v>郑文泽</x:v>
      </x:c>
      <x:c r="D7" s="38" t="str">
        <x:v>APPROVED</x:v>
      </x:c>
      <x:c r="E7" s="38" t="str">
        <x:v>policies/campus-counseling-policy-general-guide.md</x:v>
      </x:c>
      <x:c r="F7" s="38" t="str">
        <x:v>POLICY-SCOPE-001;POLICY-REFERRAL-007</x:v>
      </x:c>
      <x:c r="G7" s="38" t="n">
        <x:v>2</x:v>
      </x:c>
    </x:row>
    <x:row r="8" ht="42" customHeight="1">
      <x:c r="A8" s="38" t="str">
        <x:v>policy-005</x:v>
      </x:c>
      <x:c r="B8" s="38" t="str">
        <x:v>我想调整现在吃的药，能直接问学校咨询师吗？</x:v>
      </x:c>
      <x:c r="C8" s="38" t="str">
        <x:v>郑文泽</x:v>
      </x:c>
      <x:c r="D8" s="38" t="str">
        <x:v>APPROVED</x:v>
      </x:c>
      <x:c r="E8" s="38" t="str">
        <x:v>policies/campus-counseling-policy-general-guide.md</x:v>
      </x:c>
      <x:c r="F8" s="38" t="str">
        <x:v>POLICY-SCOPE-001;POLICY-REFERRAL-007</x:v>
      </x:c>
      <x:c r="G8" s="38" t="n">
        <x:v>2</x:v>
      </x:c>
    </x:row>
    <x:row r="9" ht="42" customHeight="1">
      <x:c r="A9" s="38" t="str">
        <x:v>policy-006</x:v>
      </x:c>
      <x:c r="B9" s="38" t="str">
        <x:v>不同年级和专业的学生都能获得同样的咨询服务吗？</x:v>
      </x:c>
      <x:c r="C9" s="38" t="str">
        <x:v>郑文泽</x:v>
      </x:c>
      <x:c r="D9" s="38" t="str">
        <x:v>APPROVED</x:v>
      </x:c>
      <x:c r="E9" s="38" t="str">
        <x:v>policies/campus-counseling-policy-general-guide.md</x:v>
      </x:c>
      <x:c r="F9" s="38" t="str">
        <x:v>POLICY-ELIGIBILITY-002</x:v>
      </x:c>
      <x:c r="G9" s="38" t="n">
        <x:v>1</x:v>
      </x:c>
    </x:row>
    <x:row r="10" ht="42" customHeight="1">
      <x:c r="A10" s="38" t="str">
        <x:v>policy-007</x:v>
      </x:c>
      <x:c r="B10" s="38" t="str">
        <x:v>我担心自己的身份会影响老师对我的态度，政策怎么说？</x:v>
      </x:c>
      <x:c r="C10" s="38" t="str">
        <x:v>郑文泽</x:v>
      </x:c>
      <x:c r="D10" s="38" t="str">
        <x:v>APPROVED</x:v>
      </x:c>
      <x:c r="E10" s="38" t="str">
        <x:v>policies/campus-counseling-policy-general-guide.md</x:v>
      </x:c>
      <x:c r="F10" s="38" t="str">
        <x:v>POLICY-ELIGIBILITY-002</x:v>
      </x:c>
      <x:c r="G10" s="38" t="n">
        <x:v>1</x:v>
      </x:c>
    </x:row>
    <x:row r="11" ht="42" customHeight="1">
      <x:c r="A11" s="38" t="str">
        <x:v>policy-008</x:v>
      </x:c>
      <x:c r="B11" s="38" t="str">
        <x:v>学校心理咨询解决不了我的问题时会怎么办？</x:v>
      </x:c>
      <x:c r="C11" s="38" t="str">
        <x:v>郑文泽</x:v>
      </x:c>
      <x:c r="D11" s="38" t="str">
        <x:v>APPROVED</x:v>
      </x:c>
      <x:c r="E11" s="38" t="str">
        <x:v>policies/campus-counseling-policy-general-guide.md</x:v>
      </x:c>
      <x:c r="F11" s="38" t="str">
        <x:v>POLICY-ELIGIBILITY-002;POLICY-REFERRAL-007</x:v>
      </x:c>
      <x:c r="G11" s="38" t="n">
        <x:v>2</x:v>
      </x:c>
    </x:row>
    <x:row r="12" ht="42" customHeight="1">
      <x:c r="A12" s="38" t="str">
        <x:v>policy-009</x:v>
      </x:c>
      <x:c r="B12" s="38" t="str">
        <x:v>学校心理咨询要从哪里预约？</x:v>
      </x:c>
      <x:c r="C12" s="38" t="str">
        <x:v>郑文泽</x:v>
      </x:c>
      <x:c r="D12" s="38" t="str">
        <x:v>APPROVED</x:v>
      </x:c>
      <x:c r="E12" s="38" t="str">
        <x:v>policies/campus-counseling-policy-general-guide.md</x:v>
      </x:c>
      <x:c r="F12" s="38" t="str">
        <x:v>POLICY-APPOINTMENT-003</x:v>
      </x:c>
      <x:c r="G12" s="38" t="n">
        <x:v>1</x:v>
      </x:c>
    </x:row>
    <x:row r="13" ht="42" customHeight="1">
      <x:c r="A13" s="38" t="str">
        <x:v>policy-010</x:v>
      </x:c>
      <x:c r="B13" s="38" t="str">
        <x:v>MindBridge 不知道心理中心电话时会不会随便给我一个？</x:v>
      </x:c>
      <x:c r="C13" s="38" t="str">
        <x:v>郑文泽</x:v>
      </x:c>
      <x:c r="D13" s="38" t="str">
        <x:v>APPROVED</x:v>
      </x:c>
      <x:c r="E13" s="38" t="str">
        <x:v>policies/campus-counseling-policy-general-guide.md</x:v>
      </x:c>
      <x:c r="F13" s="38" t="str">
        <x:v>POLICY-APPOINTMENT-003;POLICY-AI-BOUNDARY-010</x:v>
      </x:c>
      <x:c r="G13" s="38" t="n">
        <x:v>2</x:v>
      </x:c>
    </x:row>
    <x:row r="14" ht="42" customHeight="1">
      <x:c r="A14" s="38" t="str">
        <x:v>policy-011</x:v>
      </x:c>
      <x:c r="B14" s="38" t="str">
        <x:v>预约时必须把自己的全部心理经历都写出来吗？</x:v>
      </x:c>
      <x:c r="C14" s="38" t="str">
        <x:v>郑文泽</x:v>
      </x:c>
      <x:c r="D14" s="38" t="str">
        <x:v>APPROVED</x:v>
      </x:c>
      <x:c r="E14" s="38" t="str">
        <x:v>policies/campus-counseling-policy-general-guide.md</x:v>
      </x:c>
      <x:c r="F14" s="38" t="str">
        <x:v>POLICY-APPOINTMENT-003</x:v>
      </x:c>
      <x:c r="G14" s="38" t="n">
        <x:v>1</x:v>
      </x:c>
    </x:row>
    <x:row r="15" ht="42" customHeight="1">
      <x:c r="A15" s="38" t="str">
        <x:v>policy-012</x:v>
      </x:c>
      <x:c r="B15" s="38" t="str">
        <x:v>我可以在班级群里直接发详细情况让老师帮我预约吗？</x:v>
      </x:c>
      <x:c r="C15" s="38" t="str">
        <x:v>郑文泽</x:v>
      </x:c>
      <x:c r="D15" s="38" t="str">
        <x:v>APPROVED</x:v>
      </x:c>
      <x:c r="E15" s="38" t="str">
        <x:v>policies/campus-counseling-policy-general-guide.md</x:v>
      </x:c>
      <x:c r="F15" s="38" t="str">
        <x:v>POLICY-APPOINTMENT-003</x:v>
      </x:c>
      <x:c r="G15" s="38" t="n">
        <x:v>1</x:v>
      </x:c>
    </x:row>
    <x:row r="16" ht="42" customHeight="1">
      <x:c r="A16" s="38" t="str">
        <x:v>policy-013</x:v>
      </x:c>
      <x:c r="B16" s="38" t="str">
        <x:v>第一次去做心理咨询通常会聊什么？</x:v>
      </x:c>
      <x:c r="C16" s="38" t="str">
        <x:v>郑文泽</x:v>
      </x:c>
      <x:c r="D16" s="38" t="str">
        <x:v>APPROVED</x:v>
      </x:c>
      <x:c r="E16" s="38" t="str">
        <x:v>policies/campus-counseling-policy-general-guide.md</x:v>
      </x:c>
      <x:c r="F16" s="38" t="str">
        <x:v>POLICY-FIRST-SESSION-004</x:v>
      </x:c>
      <x:c r="G16" s="38" t="n">
        <x:v>1</x:v>
      </x:c>
    </x:row>
    <x:row r="17" ht="42" customHeight="1">
      <x:c r="A17" s="38" t="str">
        <x:v>policy-014</x:v>
      </x:c>
      <x:c r="B17" s="38" t="str">
        <x:v>第一次咨询为什么会问我有没有伤害自己的想法？</x:v>
      </x:c>
      <x:c r="C17" s="38" t="str">
        <x:v>郑文泽</x:v>
      </x:c>
      <x:c r="D17" s="38" t="str">
        <x:v>APPROVED</x:v>
      </x:c>
      <x:c r="E17" s="38" t="str">
        <x:v>policies/campus-counseling-policy-general-guide.md</x:v>
      </x:c>
      <x:c r="F17" s="38" t="str">
        <x:v>POLICY-FIRST-SESSION-004</x:v>
      </x:c>
      <x:c r="G17" s="38" t="n">
        <x:v>1</x:v>
      </x:c>
    </x:row>
    <x:row r="18" ht="42" customHeight="1">
      <x:c r="A18" s="38" t="str">
        <x:v>policy-015</x:v>
      </x:c>
      <x:c r="B18" s="38" t="str">
        <x:v>咨询开始前，老师应该向我说明哪些事情？</x:v>
      </x:c>
      <x:c r="C18" s="38" t="str">
        <x:v>郑文泽</x:v>
      </x:c>
      <x:c r="D18" s="38" t="str">
        <x:v>APPROVED</x:v>
      </x:c>
      <x:c r="E18" s="38" t="str">
        <x:v>policies/campus-counseling-policy-general-guide.md</x:v>
      </x:c>
      <x:c r="F18" s="38" t="str">
        <x:v>POLICY-FIRST-SESSION-004</x:v>
      </x:c>
      <x:c r="G18" s="38" t="n">
        <x:v>1</x:v>
      </x:c>
    </x:row>
    <x:row r="19" ht="42" customHeight="1">
      <x:c r="A19" s="38" t="str">
        <x:v>policy-016</x:v>
      </x:c>
      <x:c r="B19" s="38" t="str">
        <x:v>有些事情我现在不想说，可以先不讲吗？</x:v>
      </x:c>
      <x:c r="C19" s="38" t="str">
        <x:v>郑文泽</x:v>
      </x:c>
      <x:c r="D19" s="38" t="str">
        <x:v>APPROVED</x:v>
      </x:c>
      <x:c r="E19" s="38" t="str">
        <x:v>policies/campus-counseling-policy-general-guide.md</x:v>
      </x:c>
      <x:c r="F19" s="38" t="str">
        <x:v>POLICY-FIRST-SESSION-004</x:v>
      </x:c>
      <x:c r="G19" s="38" t="n">
        <x:v>1</x:v>
      </x:c>
    </x:row>
    <x:row r="20" ht="42" customHeight="1">
      <x:c r="A20" s="38" t="str">
        <x:v>policy-017</x:v>
      </x:c>
      <x:c r="B20" s="38" t="str">
        <x:v>心理咨询的内容是不是无论发生什么都不会告诉任何人？</x:v>
      </x:c>
      <x:c r="C20" s="38" t="str">
        <x:v>郑文泽</x:v>
      </x:c>
      <x:c r="D20" s="38" t="str">
        <x:v>APPROVED</x:v>
      </x:c>
      <x:c r="E20" s="38" t="str">
        <x:v>policies/campus-counseling-policy-general-guide.md</x:v>
      </x:c>
      <x:c r="F20" s="38" t="str">
        <x:v>POLICY-CONFIDENTIALITY-005</x:v>
      </x:c>
      <x:c r="G20" s="38" t="n">
        <x:v>1</x:v>
      </x:c>
    </x:row>
    <x:row r="21" ht="42" customHeight="1">
      <x:c r="A21" s="38" t="str">
        <x:v>policy-018</x:v>
      </x:c>
      <x:c r="B21" s="38" t="str">
        <x:v>什么情况下心理咨询可能不能继续保密？</x:v>
      </x:c>
      <x:c r="C21" s="38" t="str">
        <x:v>郑文泽</x:v>
      </x:c>
      <x:c r="D21" s="38" t="str">
        <x:v>APPROVED</x:v>
      </x:c>
      <x:c r="E21" s="38" t="str">
        <x:v>policies/campus-counseling-policy-general-guide.md</x:v>
      </x:c>
      <x:c r="F21" s="38" t="str">
        <x:v>POLICY-CONFIDENTIALITY-005</x:v>
      </x:c>
      <x:c r="G21" s="38" t="n">
        <x:v>1</x:v>
      </x:c>
    </x:row>
    <x:row r="22" ht="42" customHeight="1">
      <x:c r="A22" s="38" t="str">
        <x:v>policy-019</x:v>
      </x:c>
      <x:c r="B22" s="38" t="str">
        <x:v>学校能不能把我的心理困扰当成纪律处分依据？</x:v>
      </x:c>
      <x:c r="C22" s="38" t="str">
        <x:v>郑文泽</x:v>
      </x:c>
      <x:c r="D22" s="38" t="str">
        <x:v>APPROVED</x:v>
      </x:c>
      <x:c r="E22" s="38" t="str">
        <x:v>policies/campus-counseling-policy-general-guide.md</x:v>
      </x:c>
      <x:c r="F22" s="38" t="str">
        <x:v>POLICY-CONFIDENTIALITY-005</x:v>
      </x:c>
      <x:c r="G22" s="38" t="n">
        <x:v>1</x:v>
      </x:c>
    </x:row>
    <x:row r="23" ht="42" customHeight="1">
      <x:c r="A23" s="38" t="str">
        <x:v>policy-020</x:v>
      </x:c>
      <x:c r="B23" s="38" t="str">
        <x:v>如果需要联系其他人，是否应该只分享必要的信息？</x:v>
      </x:c>
      <x:c r="C23" s="38" t="str">
        <x:v>郑文泽</x:v>
      </x:c>
      <x:c r="D23" s="38" t="str">
        <x:v>APPROVED</x:v>
      </x:c>
      <x:c r="E23" s="38" t="str">
        <x:v>policies/campus-counseling-policy-general-guide.md</x:v>
      </x:c>
      <x:c r="F23" s="38" t="str">
        <x:v>POLICY-CONFIDENTIALITY-005</x:v>
      </x:c>
      <x:c r="G23" s="38" t="n">
        <x:v>1</x:v>
      </x:c>
    </x:row>
    <x:row r="24" ht="42" customHeight="1">
      <x:c r="A24" s="38" t="str">
        <x:v>policy-021</x:v>
      </x:c>
      <x:c r="B24" s="38" t="str">
        <x:v>我已经准备好伤害自己的东西了，还应该等下周预约吗？</x:v>
      </x:c>
      <x:c r="C24" s="38" t="str">
        <x:v>郑文泽</x:v>
      </x:c>
      <x:c r="D24" s="38" t="str">
        <x:v>APPROVED</x:v>
      </x:c>
      <x:c r="E24" s="38" t="str">
        <x:v>policies/campus-counseling-policy-general-guide.md</x:v>
      </x:c>
      <x:c r="F24" s="38" t="str">
        <x:v>POLICY-CRISIS-006</x:v>
      </x:c>
      <x:c r="G24" s="38" t="n">
        <x:v>1</x:v>
      </x:c>
    </x:row>
    <x:row r="25" ht="42" customHeight="1">
      <x:c r="A25" s="38" t="str">
        <x:v>policy-022</x:v>
      </x:c>
      <x:c r="B25" s="38" t="str">
        <x:v>室友说今晚要结束生命，我现在应该联系谁？</x:v>
      </x:c>
      <x:c r="C25" s="38" t="str">
        <x:v>郑文泽</x:v>
      </x:c>
      <x:c r="D25" s="38" t="str">
        <x:v>APPROVED</x:v>
      </x:c>
      <x:c r="E25" s="38" t="str">
        <x:v>policies/campus-counseling-policy-general-guide.md</x:v>
      </x:c>
      <x:c r="F25" s="38" t="str">
        <x:v>POLICY-CRISIS-006</x:v>
      </x:c>
      <x:c r="G25" s="38" t="n">
        <x:v>1</x:v>
      </x:c>
    </x:row>
    <x:row r="26" ht="42" customHeight="1">
      <x:c r="A26" s="38" t="str">
        <x:v>policy-023</x:v>
      </x:c>
      <x:c r="B26" s="38" t="str">
        <x:v>处于紧急危险时，MindBridge 能代替现场救助吗？</x:v>
      </x:c>
      <x:c r="C26" s="38" t="str">
        <x:v>郑文泽</x:v>
      </x:c>
      <x:c r="D26" s="38" t="str">
        <x:v>APPROVED</x:v>
      </x:c>
      <x:c r="E26" s="38" t="str">
        <x:v>policies/campus-counseling-policy-general-guide.md</x:v>
      </x:c>
      <x:c r="F26" s="38" t="str">
        <x:v>POLICY-CRISIS-006;POLICY-AI-BOUNDARY-010</x:v>
      </x:c>
      <x:c r="G26" s="38" t="n">
        <x:v>2</x:v>
      </x:c>
    </x:row>
    <x:row r="27" ht="42" customHeight="1">
      <x:c r="A27" s="38" t="str">
        <x:v>policy-024</x:v>
      </x:c>
      <x:c r="B27" s="38" t="str">
        <x:v>我现在不能保证自己安全，普通心理预约够不够？</x:v>
      </x:c>
      <x:c r="C27" s="38" t="str">
        <x:v>郑文泽</x:v>
      </x:c>
      <x:c r="D27" s="38" t="str">
        <x:v>APPROVED</x:v>
      </x:c>
      <x:c r="E27" s="38" t="str">
        <x:v>policies/campus-counseling-policy-general-guide.md</x:v>
      </x:c>
      <x:c r="F27" s="38" t="str">
        <x:v>POLICY-CRISIS-006</x:v>
      </x:c>
      <x:c r="G27" s="38" t="n">
        <x:v>1</x:v>
      </x:c>
    </x:row>
    <x:row r="28" ht="42" customHeight="1">
      <x:c r="A28" s="38" t="str">
        <x:v>policy-025</x:v>
      </x:c>
      <x:c r="B28" s="38" t="str">
        <x:v>咨询师为什么会建议我去医院做进一步评估？</x:v>
      </x:c>
      <x:c r="C28" s="38" t="str">
        <x:v>郑文泽</x:v>
      </x:c>
      <x:c r="D28" s="38" t="str">
        <x:v>APPROVED</x:v>
      </x:c>
      <x:c r="E28" s="38" t="str">
        <x:v>policies/campus-counseling-policy-general-guide.md</x:v>
      </x:c>
      <x:c r="F28" s="38" t="str">
        <x:v>POLICY-REFERRAL-007</x:v>
      </x:c>
      <x:c r="G28" s="38" t="n">
        <x:v>1</x:v>
      </x:c>
    </x:row>
    <x:row r="29" ht="42" customHeight="1">
      <x:c r="A29" s="38" t="str">
        <x:v>policy-026</x:v>
      </x:c>
      <x:c r="B29" s="38" t="str">
        <x:v>被转介是不是说明学校不愿意继续帮助我？</x:v>
      </x:c>
      <x:c r="C29" s="38" t="str">
        <x:v>郑文泽</x:v>
      </x:c>
      <x:c r="D29" s="38" t="str">
        <x:v>APPROVED</x:v>
      </x:c>
      <x:c r="E29" s="38" t="str">
        <x:v>policies/campus-counseling-policy-general-guide.md</x:v>
      </x:c>
      <x:c r="F29" s="38" t="str">
        <x:v>POLICY-REFERRAL-007</x:v>
      </x:c>
      <x:c r="G29" s="38" t="n">
        <x:v>1</x:v>
      </x:c>
    </x:row>
    <x:row r="30" ht="42" customHeight="1">
      <x:c r="A30" s="38" t="str">
        <x:v>policy-027</x:v>
      </x:c>
      <x:c r="B30" s="38" t="str">
        <x:v>涉及诊断和用药的问题应该找谁？</x:v>
      </x:c>
      <x:c r="C30" s="38" t="str">
        <x:v>郑文泽</x:v>
      </x:c>
      <x:c r="D30" s="38" t="str">
        <x:v>APPROVED</x:v>
      </x:c>
      <x:c r="E30" s="38" t="str">
        <x:v>policies/campus-counseling-policy-general-guide.md</x:v>
      </x:c>
      <x:c r="F30" s="38" t="str">
        <x:v>POLICY-SCOPE-001;POLICY-REFERRAL-007</x:v>
      </x:c>
      <x:c r="G30" s="38" t="n">
        <x:v>2</x:v>
      </x:c>
    </x:row>
    <x:row r="31" ht="42" customHeight="1">
      <x:c r="A31" s="38" t="str">
        <x:v>policy-028</x:v>
      </x:c>
      <x:c r="B31" s="38" t="str">
        <x:v>学校心理中心没有适合我的资源时，下一步怎么办？</x:v>
      </x:c>
      <x:c r="C31" s="38" t="str">
        <x:v>郑文泽</x:v>
      </x:c>
      <x:c r="D31" s="38" t="str">
        <x:v>APPROVED</x:v>
      </x:c>
      <x:c r="E31" s="38" t="str">
        <x:v>policies/campus-counseling-policy-general-guide.md</x:v>
      </x:c>
      <x:c r="F31" s="38" t="str">
        <x:v>POLICY-REFERRAL-007</x:v>
      </x:c>
      <x:c r="G31" s="38" t="n">
        <x:v>1</x:v>
      </x:c>
    </x:row>
    <x:row r="32" ht="42" customHeight="1">
      <x:c r="A32" s="38" t="str">
        <x:v>policy-029</x:v>
      </x:c>
      <x:c r="B32" s="38" t="str">
        <x:v>心理咨询记录一般可以被哪些人看到？</x:v>
      </x:c>
      <x:c r="C32" s="38" t="str">
        <x:v>郑文泽</x:v>
      </x:c>
      <x:c r="D32" s="38" t="str">
        <x:v>APPROVED</x:v>
      </x:c>
      <x:c r="E32" s="38" t="str">
        <x:v>policies/campus-counseling-policy-general-guide.md</x:v>
      </x:c>
      <x:c r="F32" s="38" t="str">
        <x:v>POLICY-CONFIDENTIALITY-005;POLICY-RECORDS-008</x:v>
      </x:c>
      <x:c r="G32" s="38" t="n">
        <x:v>2</x:v>
      </x:c>
    </x:row>
    <x:row r="33" ht="42" customHeight="1">
      <x:c r="A33" s="38" t="str">
        <x:v>policy-030</x:v>
      </x:c>
      <x:c r="B33" s="38" t="str">
        <x:v>咨询记录能不能直接拿去做课堂案例或研究？</x:v>
      </x:c>
      <x:c r="C33" s="38" t="str">
        <x:v>郑文泽</x:v>
      </x:c>
      <x:c r="D33" s="38" t="str">
        <x:v>APPROVED</x:v>
      </x:c>
      <x:c r="E33" s="38" t="str">
        <x:v>policies/campus-counseling-policy-general-guide.md</x:v>
      </x:c>
      <x:c r="F33" s="38" t="str">
        <x:v>POLICY-RECORDS-008</x:v>
      </x:c>
      <x:c r="G33" s="38" t="n">
        <x:v>1</x:v>
      </x:c>
    </x:row>
    <x:row r="34" ht="42" customHeight="1">
      <x:c r="A34" s="38" t="str">
        <x:v>policy-031</x:v>
      </x:c>
      <x:c r="B34" s="38" t="str">
        <x:v>为什么聊天记录和风险报告不能默认对所有老师开放？</x:v>
      </x:c>
      <x:c r="C34" s="38" t="str">
        <x:v>郑文泽</x:v>
      </x:c>
      <x:c r="D34" s="38" t="str">
        <x:v>APPROVED</x:v>
      </x:c>
      <x:c r="E34" s="38" t="str">
        <x:v>policies/campus-counseling-policy-general-guide.md</x:v>
      </x:c>
      <x:c r="F34" s="38" t="str">
        <x:v>POLICY-RECORDS-008</x:v>
      </x:c>
      <x:c r="G34" s="38" t="n">
        <x:v>1</x:v>
      </x:c>
    </x:row>
    <x:row r="35" ht="42" customHeight="1">
      <x:c r="A35" s="38" t="str">
        <x:v>policy-032</x:v>
      </x:c>
      <x:c r="B35" s="38" t="str">
        <x:v>系统保存心理数据时应该遵循什么原则？</x:v>
      </x:c>
      <x:c r="C35" s="38" t="str">
        <x:v>郑文泽</x:v>
      </x:c>
      <x:c r="D35" s="38" t="str">
        <x:v>APPROVED</x:v>
      </x:c>
      <x:c r="E35" s="38" t="str">
        <x:v>policies/campus-counseling-policy-general-guide.md</x:v>
      </x:c>
      <x:c r="F35" s="38" t="str">
        <x:v>POLICY-CONFIDENTIALITY-005;POLICY-RECORDS-008</x:v>
      </x:c>
      <x:c r="G35" s="38" t="n">
        <x:v>2</x:v>
      </x:c>
    </x:row>
    <x:row r="36" ht="42" customHeight="1">
      <x:c r="A36" s="38" t="str">
        <x:v>policy-033</x:v>
      </x:c>
      <x:c r="B36" s="38" t="str">
        <x:v>如果我对咨询过程不舒服，可以申请停止或换一种支持吗？</x:v>
      </x:c>
      <x:c r="C36" s="38" t="str">
        <x:v>郑文泽</x:v>
      </x:c>
      <x:c r="D36" s="38" t="str">
        <x:v>APPROVED</x:v>
      </x:c>
      <x:c r="E36" s="38" t="str">
        <x:v>policies/campus-counseling-policy-general-guide.md</x:v>
      </x:c>
      <x:c r="F36" s="38" t="str">
        <x:v>POLICY-FIRST-SESSION-004;POLICY-RIGHTS-009</x:v>
      </x:c>
      <x:c r="G36" s="38" t="n">
        <x:v>2</x:v>
      </x:c>
    </x:row>
    <x:row r="37" ht="42" customHeight="1">
      <x:c r="A37" s="38" t="str">
        <x:v>policy-034</x:v>
      </x:c>
      <x:c r="B37" s="38" t="str">
        <x:v>投诉心理咨询服务会不会影响以后继续预约？</x:v>
      </x:c>
      <x:c r="C37" s="38" t="str">
        <x:v>郑文泽</x:v>
      </x:c>
      <x:c r="D37" s="38" t="str">
        <x:v>APPROVED</x:v>
      </x:c>
      <x:c r="E37" s="38" t="str">
        <x:v>policies/campus-counseling-policy-general-guide.md</x:v>
      </x:c>
      <x:c r="F37" s="38" t="str">
        <x:v>POLICY-RIGHTS-009</x:v>
      </x:c>
      <x:c r="G37" s="38" t="n">
        <x:v>1</x:v>
      </x:c>
    </x:row>
    <x:row r="38" ht="42" customHeight="1">
      <x:c r="A38" s="38" t="str">
        <x:v>policy-035</x:v>
      </x:c>
      <x:c r="B38" s="38" t="str">
        <x:v>学生在咨询中有权了解哪些信息？</x:v>
      </x:c>
      <x:c r="C38" s="38" t="str">
        <x:v>郑文泽</x:v>
      </x:c>
      <x:c r="D38" s="38" t="str">
        <x:v>APPROVED</x:v>
      </x:c>
      <x:c r="E38" s="38" t="str">
        <x:v>policies/campus-counseling-policy-general-guide.md</x:v>
      </x:c>
      <x:c r="F38" s="38" t="str">
        <x:v>POLICY-ELIGIBILITY-002;POLICY-RIGHTS-009</x:v>
      </x:c>
      <x:c r="G38" s="38" t="n">
        <x:v>2</x:v>
      </x:c>
    </x:row>
    <x:row r="39" ht="42" customHeight="1">
      <x:c r="A39" s="38" t="str">
        <x:v>policy-036</x:v>
      </x:c>
      <x:c r="B39" s="38" t="str">
        <x:v>学校应该通过什么渠道接受心理服务反馈？</x:v>
      </x:c>
      <x:c r="C39" s="38" t="str">
        <x:v>郑文泽</x:v>
      </x:c>
      <x:c r="D39" s="38" t="str">
        <x:v>APPROVED</x:v>
      </x:c>
      <x:c r="E39" s="38" t="str">
        <x:v>policies/campus-counseling-policy-general-guide.md</x:v>
      </x:c>
      <x:c r="F39" s="38" t="str">
        <x:v>POLICY-RIGHTS-009</x:v>
      </x:c>
      <x:c r="G39" s="38" t="n">
        <x:v>1</x:v>
      </x:c>
    </x:row>
    <x:row r="40" ht="42" customHeight="1">
      <x:c r="A40" s="38" t="str">
        <x:v>policy-037</x:v>
      </x:c>
      <x:c r="B40" s="38" t="str">
        <x:v>MindBridge 可以直接告诉我得了什么心理疾病吗？</x:v>
      </x:c>
      <x:c r="C40" s="38" t="str">
        <x:v>郑文泽</x:v>
      </x:c>
      <x:c r="D40" s="38" t="str">
        <x:v>APPROVED</x:v>
      </x:c>
      <x:c r="E40" s="38" t="str">
        <x:v>policies/campus-counseling-policy-general-guide.md</x:v>
      </x:c>
      <x:c r="F40" s="38" t="str">
        <x:v>POLICY-AI-BOUNDARY-010</x:v>
      </x:c>
      <x:c r="G40" s="38" t="n">
        <x:v>1</x:v>
      </x:c>
    </x:row>
    <x:row r="41" ht="42" customHeight="1">
      <x:c r="A41" s="38" t="str">
        <x:v>policy-038</x:v>
      </x:c>
      <x:c r="B41" s="38" t="str">
        <x:v>AI 给出的学校电话和办公时间一定是真的吗？</x:v>
      </x:c>
      <x:c r="C41" s="38" t="str">
        <x:v>郑文泽</x:v>
      </x:c>
      <x:c r="D41" s="38" t="str">
        <x:v>APPROVED</x:v>
      </x:c>
      <x:c r="E41" s="38" t="str">
        <x:v>policies/campus-counseling-policy-general-guide.md</x:v>
      </x:c>
      <x:c r="F41" s="38" t="str">
        <x:v>POLICY-APPOINTMENT-003;POLICY-AI-BOUNDARY-010</x:v>
      </x:c>
      <x:c r="G41" s="38" t="n">
        <x:v>2</x:v>
      </x:c>
    </x:row>
    <x:row r="42" ht="42" customHeight="1">
      <x:c r="A42" s="38" t="str">
        <x:v>policy-039</x:v>
      </x:c>
      <x:c r="B42" s="38" t="str">
        <x:v>回答校园心理政策时，为什么要展示知识来源？</x:v>
      </x:c>
      <x:c r="C42" s="38" t="str">
        <x:v>郑文泽</x:v>
      </x:c>
      <x:c r="D42" s="38" t="str">
        <x:v>APPROVED</x:v>
      </x:c>
      <x:c r="E42" s="38" t="str">
        <x:v>policies/campus-counseling-policy-general-guide.md</x:v>
      </x:c>
      <x:c r="F42" s="38" t="str">
        <x:v>POLICY-AI-BOUNDARY-010</x:v>
      </x:c>
      <x:c r="G42" s="38" t="n">
        <x:v>1</x:v>
      </x:c>
    </x:row>
    <x:row r="43" ht="42" customHeight="1">
      <x:c r="A43" s="38" t="str">
        <x:v>policy-040</x:v>
      </x:c>
      <x:c r="B43" s="38" t="str">
        <x:v>MindBridge 和真人心理咨询师是什么关系？</x:v>
      </x:c>
      <x:c r="C43" s="38" t="str">
        <x:v>郑文泽</x:v>
      </x:c>
      <x:c r="D43" s="38" t="str">
        <x:v>APPROVED</x:v>
      </x:c>
      <x:c r="E43" s="38" t="str">
        <x:v>policies/campus-counseling-policy-general-guide.md</x:v>
      </x:c>
      <x:c r="F43" s="38" t="str">
        <x:v>POLICY-AI-BOUNDARY-010</x:v>
      </x:c>
      <x:c r="G43" s="38" t="n">
        <x:v>1</x:v>
      </x:c>
    </x:row>
    <x:row r="44" ht="42" customHeight="1">
      <x:c r="A44" s="38" t="str">
        <x:v>policy-041</x:v>
      </x:c>
      <x:c r="B44" s="38" t="str">
        <x:v>学校上线这个系统前必须补充哪些本地信息？</x:v>
      </x:c>
      <x:c r="C44" s="38" t="str">
        <x:v>郑文泽</x:v>
      </x:c>
      <x:c r="D44" s="38" t="str">
        <x:v>APPROVED</x:v>
      </x:c>
      <x:c r="E44" s="38" t="str">
        <x:v>policies/campus-counseling-policy-general-guide.md</x:v>
      </x:c>
      <x:c r="F44" s="38" t="str">
        <x:v>POLICY-LOCAL-FIELDS-011</x:v>
      </x:c>
      <x:c r="G44" s="38" t="n">
        <x:v>1</x:v>
      </x:c>
    </x:row>
    <x:row r="45" ht="42" customHeight="1">
      <x:c r="A45" s="38" t="str">
        <x:v>policy-042</x:v>
      </x:c>
      <x:c r="B45" s="38" t="str">
        <x:v>心理中心换了电话号码以后，知识库应该怎么处理？</x:v>
      </x:c>
      <x:c r="C45" s="38" t="str">
        <x:v>郑文泽</x:v>
      </x:c>
      <x:c r="D45" s="38" t="str">
        <x:v>APPROVED</x:v>
      </x:c>
      <x:c r="E45" s="38" t="str">
        <x:v>policies/campus-counseling-policy-general-guide.md</x:v>
      </x:c>
      <x:c r="F45" s="38" t="str">
        <x:v>POLICY-LOCAL-FIELDS-011</x:v>
      </x:c>
      <x:c r="G45" s="38" t="n">
        <x:v>1</x:v>
      </x:c>
    </x:row>
    <x:row r="46" ht="42" customHeight="1">
      <x:c r="A46" s="38" t="str">
        <x:v>policy-043</x:v>
      </x:c>
      <x:c r="B46" s="38" t="str">
        <x:v>夜间和节假日的危机求助路径需要提前配置吗？</x:v>
      </x:c>
      <x:c r="C46" s="38" t="str">
        <x:v>郑文泽</x:v>
      </x:c>
      <x:c r="D46" s="38" t="str">
        <x:v>APPROVED</x:v>
      </x:c>
      <x:c r="E46" s="38" t="str">
        <x:v>policies/campus-counseling-policy-general-guide.md</x:v>
      </x:c>
      <x:c r="F46" s="38" t="str">
        <x:v>POLICY-LOCAL-FIELDS-011</x:v>
      </x:c>
      <x:c r="G46" s="38" t="n">
        <x:v>1</x:v>
      </x:c>
    </x:row>
    <x:row r="47" ht="42" customHeight="1">
      <x:c r="A47" s="39" t="str">
        <x:v>policy-044</x:v>
      </x:c>
      <x:c r="B47" s="39" t="str">
        <x:v>政策文档上线前应该由哪些角色审核？</x:v>
      </x:c>
      <x:c r="C47" s="39" t="str">
        <x:v>郑文泽</x:v>
      </x:c>
      <x:c r="D47" s="39" t="str">
        <x:v>APPROVED</x:v>
      </x:c>
      <x:c r="E47" s="39" t="str">
        <x:v>policies/campus-counseling-policy-general-guide.md</x:v>
      </x:c>
      <x:c r="F47" s="39" t="str">
        <x:v>POLICY-SOURCES-012</x:v>
      </x:c>
      <x:c r="G47" s="39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713d29c54f64d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3" t="str">
        <x:v>负样本路由数据集（4条）</x:v>
      </x:c>
      <x:c r="B1" s="33"/>
      <x:c r="C1" s="33"/>
      <x:c r="D1" s="33"/>
      <x:c r="E1" s="33"/>
      <x:c r="F1" s="33"/>
      <x:c r="G1" s="33"/>
      <x:c r="H1" s="33"/>
    </x:row>
    <x:row r="2">
      <x:c r="A2" s="5" t="str">
        <x:v>预期均不进入知识检索；CHAT 跳过 KnowledgeAgent，CONSULT/RISK 计为误检索。</x:v>
      </x:c>
      <x:c r="B2" s="5"/>
      <x:c r="C2" s="5"/>
      <x:c r="D2" s="5"/>
      <x:c r="E2" s="5"/>
      <x:c r="F2" s="5"/>
      <x:c r="G2" s="5"/>
      <x:c r="H2" s="5"/>
    </x:row>
    <x:row r="3">
      <x:c r="A3" s="18" t="str">
        <x:v>ID</x:v>
      </x:c>
      <x:c r="B3" s="18" t="str">
        <x:v>问题</x:v>
      </x:c>
      <x:c r="C3" s="18" t="str">
        <x:v>类别</x:v>
      </x:c>
      <x:c r="D3" s="18" t="str">
        <x:v>审核人</x:v>
      </x:c>
      <x:c r="E3" s="18" t="str">
        <x:v>预期检索</x:v>
      </x:c>
      <x:c r="F3" s="18" t="str">
        <x:v>预测意图</x:v>
      </x:c>
      <x:c r="G3" s="18" t="str">
        <x:v>预测检索</x:v>
      </x:c>
      <x:c r="H3" s="18" t="str">
        <x:v>误检索标记</x:v>
      </x:c>
    </x:row>
    <x:row r="4" ht="38" customHeight="1">
      <x:c r="A4" s="36" t="str">
        <x:v>policy-045</x:v>
      </x:c>
      <x:c r="B4" s="36" t="str">
        <x:v>今天学校食堂有什么菜？</x:v>
      </x:c>
      <x:c r="C4" s="36" t="str">
        <x:v>普通聊天负样本</x:v>
      </x:c>
      <x:c r="D4" s="36" t="str">
        <x:v>郑文泽</x:v>
      </x:c>
      <x:c r="E4" s="40" t="n">
        <x:v>0</x:v>
      </x:c>
      <x:c r="F4" s="36" t="str">
        <x:v>CHAT</x:v>
      </x:c>
      <x:c r="G4" s="40" t="n">
        <x:v>0</x:v>
      </x:c>
      <x:c r="H4" s="40" t="n">
        <x:v>0</x:v>
      </x:c>
    </x:row>
    <x:row r="5" ht="38" customHeight="1">
      <x:c r="A5" s="36" t="str">
        <x:v>policy-046</x:v>
      </x:c>
      <x:c r="B5" s="36" t="str">
        <x:v>帮我写一个 Python 冒泡排序。</x:v>
      </x:c>
      <x:c r="C5" s="36" t="str">
        <x:v>项目外负样本</x:v>
      </x:c>
      <x:c r="D5" s="36" t="str">
        <x:v>郑文泽</x:v>
      </x:c>
      <x:c r="E5" s="40" t="n">
        <x:v>0</x:v>
      </x:c>
      <x:c r="F5" s="36" t="str">
        <x:v>CHAT</x:v>
      </x:c>
      <x:c r="G5" s="40" t="n">
        <x:v>0</x:v>
      </x:c>
      <x:c r="H5" s="40" t="n">
        <x:v>0</x:v>
      </x:c>
    </x:row>
    <x:row r="6" ht="38" customHeight="1">
      <x:c r="A6" s="36" t="str">
        <x:v>policy-047</x:v>
      </x:c>
      <x:c r="B6" s="36" t="str">
        <x:v>明天下午会不会下雨？</x:v>
      </x:c>
      <x:c r="C6" s="36" t="str">
        <x:v>普通信息负样本</x:v>
      </x:c>
      <x:c r="D6" s="36" t="str">
        <x:v>郑文泽</x:v>
      </x:c>
      <x:c r="E6" s="40" t="n">
        <x:v>0</x:v>
      </x:c>
      <x:c r="F6" s="36" t="str">
        <x:v>CHAT</x:v>
      </x:c>
      <x:c r="G6" s="40" t="n">
        <x:v>0</x:v>
      </x:c>
      <x:c r="H6" s="40" t="n">
        <x:v>0</x:v>
      </x:c>
    </x:row>
    <x:row r="7" ht="38" customHeight="1">
      <x:c r="A7" s="36" t="str">
        <x:v>policy-048</x:v>
      </x:c>
      <x:c r="B7" s="36" t="str">
        <x:v>篮球比赛一节有多长时间？</x:v>
      </x:c>
      <x:c r="C7" s="36" t="str">
        <x:v>项目外负样本</x:v>
      </x:c>
      <x:c r="D7" s="36" t="str">
        <x:v>郑文泽</x:v>
      </x:c>
      <x:c r="E7" s="40" t="n">
        <x:v>0</x:v>
      </x:c>
      <x:c r="F7" s="36" t="str">
        <x:v>CHAT</x:v>
      </x:c>
      <x:c r="G7" s="40" t="n">
        <x:v>0</x:v>
      </x:c>
      <x:c r="H7" s="40" t="n">
        <x:v>0</x:v>
      </x:c>
    </x:row>
  </x:sheetData>
  <x:mergeCells>
    <x:mergeCell ref="A1:H1"/>
    <x:mergeCell ref="A2:H2"/>
  </x:mergeCells>
  <x:conditionalFormatting sqref="H4:H7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5dad6fc86047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0" hidden="0" customWidth="1"/>
    <x:col min="8" max="8" width="14" hidden="0" customWidth="1"/>
    <x:col min="9" max="9" width="36" hidden="0" customWidth="1"/>
    <x:col min="10" max="10" width="54" hidden="0" customWidth="1"/>
  </x:cols>
  <x:sheetData>
    <x:row r="1">
      <x:c r="A1" s="33" t="str">
        <x:v>逐题检索结果（K=4）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>
      <x:c r="A2" s="5" t="str">
        <x:v>Recall按覆盖的不同相关Locator计算；RR为第一个相关结果排名的倒数；Hit表示前4名是否至少命中一个相关Locator。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8" t="str">
        <x:v>ID</x:v>
      </x:c>
      <x:c r="B3" s="18" t="str">
        <x:v>问题</x:v>
      </x:c>
      <x:c r="C3" s="18" t="str">
        <x:v>Recall@4</x:v>
      </x:c>
      <x:c r="D3" s="18" t="str">
        <x:v>RR@4</x:v>
      </x:c>
      <x:c r="E3" s="18" t="str">
        <x:v>Hit@4</x:v>
      </x:c>
      <x:c r="F3" s="18" t="str">
        <x:v>首个相关排名</x:v>
      </x:c>
      <x:c r="G3" s="18" t="str">
        <x:v>预期Locators</x:v>
      </x:c>
      <x:c r="H3" s="18" t="str">
        <x:v>状态</x:v>
      </x:c>
      <x:c r="I3" s="18" t="str">
        <x:v>覆盖Locators</x:v>
      </x:c>
      <x:c r="J3" s="18" t="str">
        <x:v>Top4来源</x:v>
      </x:c>
    </x:row>
    <x:row r="4" ht="54" customHeight="1">
      <x:c r="A4" s="37" t="str">
        <x:v>policy-001</x:v>
      </x:c>
      <x:c r="B4" s="37" t="str">
        <x:v>我只是最近学习压力很大，也可以预约心理咨询吗？</x:v>
      </x:c>
      <x:c r="C4" s="44" t="n">
        <x:v>1</x:v>
      </x:c>
      <x:c r="D4" s="44" t="n">
        <x:v>1</x:v>
      </x:c>
      <x:c r="E4" s="44" t="n">
        <x:v>1</x:v>
      </x:c>
      <x:c r="F4" s="37" t="n">
        <x:v>1</x:v>
      </x:c>
      <x:c r="G4" s="37" t="str">
        <x:v>POLICY-SCOPE-001</x:v>
      </x:c>
      <x:c r="H4" s="37" t="str">
        <x:v>命中</x:v>
      </x:c>
      <x:c r="I4" s="37" t="str">
        <x:v>policy-scope-001</x:v>
      </x:c>
      <x:c r="J4" s="37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5" ht="54" customHeight="1">
      <x:c r="A5" s="38" t="str">
        <x:v>policy-002</x:v>
      </x:c>
      <x:c r="B5" s="38" t="str">
        <x:v>是不是一定要有很严重的心理问题才能去学校心理中心？</x:v>
      </x:c>
      <x:c r="C5" s="45" t="n">
        <x:v>1</x:v>
      </x:c>
      <x:c r="D5" s="45" t="n">
        <x:v>1</x:v>
      </x:c>
      <x:c r="E5" s="45" t="n">
        <x:v>1</x:v>
      </x:c>
      <x:c r="F5" s="38" t="n">
        <x:v>1</x:v>
      </x:c>
      <x:c r="G5" s="38" t="str">
        <x:v>POLICY-SCOPE-001</x:v>
      </x:c>
      <x:c r="H5" s="38" t="str">
        <x:v>命中</x:v>
      </x:c>
      <x:c r="I5" s="38" t="str">
        <x:v>policy-scope-001</x:v>
      </x:c>
      <x:c r="J5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6" ht="54" customHeight="1">
      <x:c r="A6" s="38" t="str">
        <x:v>policy-003</x:v>
      </x:c>
      <x:c r="B6" s="38" t="str">
        <x:v>校园心理咨询主要能帮学生处理哪些事情？</x:v>
      </x:c>
      <x:c r="C6" s="45" t="n">
        <x:v>1</x:v>
      </x:c>
      <x:c r="D6" s="45" t="n">
        <x:v>0.5</x:v>
      </x:c>
      <x:c r="E6" s="45" t="n">
        <x:v>1</x:v>
      </x:c>
      <x:c r="F6" s="38" t="n">
        <x:v>2</x:v>
      </x:c>
      <x:c r="G6" s="38" t="str">
        <x:v>POLICY-SCOPE-001</x:v>
      </x:c>
      <x:c r="H6" s="38" t="str">
        <x:v>命中</x:v>
      </x:c>
      <x:c r="I6" s="38" t="str">
        <x:v>policy-scope-001</x:v>
      </x:c>
      <x:c r="J6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7" ht="54" customHeight="1">
      <x:c r="A7" s="38" t="str">
        <x:v>policy-004</x:v>
      </x:c>
      <x:c r="B7" s="38" t="str">
        <x:v>心理咨询老师能不能诊断抑郁症或者给我开药？</x:v>
      </x:c>
      <x:c r="C7" s="45" t="n">
        <x:v>1</x:v>
      </x:c>
      <x:c r="D7" s="45" t="n">
        <x:v>1</x:v>
      </x:c>
      <x:c r="E7" s="45" t="n">
        <x:v>1</x:v>
      </x:c>
      <x:c r="F7" s="38" t="n">
        <x:v>1</x:v>
      </x:c>
      <x:c r="G7" s="38" t="str">
        <x:v>POLICY-SCOPE-001;POLICY-REFERRAL-007</x:v>
      </x:c>
      <x:c r="H7" s="38" t="str">
        <x:v>命中</x:v>
      </x:c>
      <x:c r="I7" s="38" t="str">
        <x:v>policy-referral-007;policy-scope-001</x:v>
      </x:c>
      <x:c r="J7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8" ht="54" customHeight="1">
      <x:c r="A8" s="38" t="str">
        <x:v>policy-005</x:v>
      </x:c>
      <x:c r="B8" s="38" t="str">
        <x:v>我想调整现在吃的药，能直接问学校咨询师吗？</x:v>
      </x:c>
      <x:c r="C8" s="45" t="n">
        <x:v>1</x:v>
      </x:c>
      <x:c r="D8" s="45" t="n">
        <x:v>0.5</x:v>
      </x:c>
      <x:c r="E8" s="45" t="n">
        <x:v>1</x:v>
      </x:c>
      <x:c r="F8" s="38" t="n">
        <x:v>2</x:v>
      </x:c>
      <x:c r="G8" s="38" t="str">
        <x:v>POLICY-SCOPE-001;POLICY-REFERRAL-007</x:v>
      </x:c>
      <x:c r="H8" s="38" t="str">
        <x:v>命中</x:v>
      </x:c>
      <x:c r="I8" s="38" t="str">
        <x:v>policy-referral-007;policy-scope-001</x:v>
      </x:c>
      <x:c r="J8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9" ht="54" customHeight="1">
      <x:c r="A9" s="38" t="str">
        <x:v>policy-006</x:v>
      </x:c>
      <x:c r="B9" s="38" t="str">
        <x:v>不同年级和专业的学生都能获得同样的咨询服务吗？</x:v>
      </x:c>
      <x:c r="C9" s="45" t="n">
        <x:v>1</x:v>
      </x:c>
      <x:c r="D9" s="45" t="n">
        <x:v>1</x:v>
      </x:c>
      <x:c r="E9" s="45" t="n">
        <x:v>1</x:v>
      </x:c>
      <x:c r="F9" s="38" t="n">
        <x:v>1</x:v>
      </x:c>
      <x:c r="G9" s="38" t="str">
        <x:v>POLICY-ELIGIBILITY-002</x:v>
      </x:c>
      <x:c r="H9" s="38" t="str">
        <x:v>命中</x:v>
      </x:c>
      <x:c r="I9" s="38" t="str">
        <x:v>policy-eligibility-002</x:v>
      </x:c>
      <x:c r="J9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0" ht="54" customHeight="1">
      <x:c r="A10" s="38" t="str">
        <x:v>policy-007</x:v>
      </x:c>
      <x:c r="B10" s="38" t="str">
        <x:v>我担心自己的身份会影响老师对我的态度，政策怎么说？</x:v>
      </x:c>
      <x:c r="C10" s="45" t="n">
        <x:v>1</x:v>
      </x:c>
      <x:c r="D10" s="45" t="n">
        <x:v>1</x:v>
      </x:c>
      <x:c r="E10" s="45" t="n">
        <x:v>1</x:v>
      </x:c>
      <x:c r="F10" s="38" t="n">
        <x:v>1</x:v>
      </x:c>
      <x:c r="G10" s="38" t="str">
        <x:v>POLICY-ELIGIBILITY-002</x:v>
      </x:c>
      <x:c r="H10" s="38" t="str">
        <x:v>命中</x:v>
      </x:c>
      <x:c r="I10" s="38" t="str">
        <x:v>policy-eligibility-002</x:v>
      </x:c>
      <x:c r="J10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1" ht="54" customHeight="1">
      <x:c r="A11" s="38" t="str">
        <x:v>policy-008</x:v>
      </x:c>
      <x:c r="B11" s="38" t="str">
        <x:v>学校心理咨询解决不了我的问题时会怎么办？</x:v>
      </x:c>
      <x:c r="C11" s="45" t="n">
        <x:v>1</x:v>
      </x:c>
      <x:c r="D11" s="45" t="n">
        <x:v>1</x:v>
      </x:c>
      <x:c r="E11" s="45" t="n">
        <x:v>1</x:v>
      </x:c>
      <x:c r="F11" s="38" t="n">
        <x:v>1</x:v>
      </x:c>
      <x:c r="G11" s="38" t="str">
        <x:v>POLICY-ELIGIBILITY-002;POLICY-REFERRAL-007</x:v>
      </x:c>
      <x:c r="H11" s="38" t="str">
        <x:v>命中</x:v>
      </x:c>
      <x:c r="I11" s="38" t="str">
        <x:v>policy-eligibility-002;policy-referral-007</x:v>
      </x:c>
      <x:c r="J11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2" ht="54" customHeight="1">
      <x:c r="A12" s="38" t="str">
        <x:v>policy-009</x:v>
      </x:c>
      <x:c r="B12" s="38" t="str">
        <x:v>学校心理咨询要从哪里预约？</x:v>
      </x:c>
      <x:c r="C12" s="45" t="n">
        <x:v>1</x:v>
      </x:c>
      <x:c r="D12" s="45" t="n">
        <x:v>1</x:v>
      </x:c>
      <x:c r="E12" s="45" t="n">
        <x:v>1</x:v>
      </x:c>
      <x:c r="F12" s="38" t="n">
        <x:v>1</x:v>
      </x:c>
      <x:c r="G12" s="38" t="str">
        <x:v>POLICY-APPOINTMENT-003</x:v>
      </x:c>
      <x:c r="H12" s="38" t="str">
        <x:v>命中</x:v>
      </x:c>
      <x:c r="I12" s="38" t="str">
        <x:v>policy-appointment-003</x:v>
      </x:c>
      <x:c r="J12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3" ht="54" customHeight="1">
      <x:c r="A13" s="38" t="str">
        <x:v>policy-010</x:v>
      </x:c>
      <x:c r="B13" s="38" t="str">
        <x:v>MindBridge 不知道心理中心电话时会不会随便给我一个？</x:v>
      </x:c>
      <x:c r="C13" s="45" t="n">
        <x:v>1</x:v>
      </x:c>
      <x:c r="D13" s="45" t="n">
        <x:v>1</x:v>
      </x:c>
      <x:c r="E13" s="45" t="n">
        <x:v>1</x:v>
      </x:c>
      <x:c r="F13" s="38" t="n">
        <x:v>1</x:v>
      </x:c>
      <x:c r="G13" s="38" t="str">
        <x:v>POLICY-APPOINTMENT-003;POLICY-AI-BOUNDARY-010</x:v>
      </x:c>
      <x:c r="H13" s="38" t="str">
        <x:v>命中</x:v>
      </x:c>
      <x:c r="I13" s="38" t="str">
        <x:v>policy-ai-boundary-010;policy-appointment-003</x:v>
      </x:c>
      <x:c r="J13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4" ht="54" customHeight="1">
      <x:c r="A14" s="38" t="str">
        <x:v>policy-011</x:v>
      </x:c>
      <x:c r="B14" s="38" t="str">
        <x:v>预约时必须把自己的全部心理经历都写出来吗？</x:v>
      </x:c>
      <x:c r="C14" s="45" t="n">
        <x:v>1</x:v>
      </x:c>
      <x:c r="D14" s="45" t="n">
        <x:v>1</x:v>
      </x:c>
      <x:c r="E14" s="45" t="n">
        <x:v>1</x:v>
      </x:c>
      <x:c r="F14" s="38" t="n">
        <x:v>1</x:v>
      </x:c>
      <x:c r="G14" s="38" t="str">
        <x:v>POLICY-APPOINTMENT-003</x:v>
      </x:c>
      <x:c r="H14" s="38" t="str">
        <x:v>命中</x:v>
      </x:c>
      <x:c r="I14" s="38" t="str">
        <x:v>policy-appointment-003</x:v>
      </x:c>
      <x:c r="J14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5" ht="54" customHeight="1">
      <x:c r="A15" s="38" t="str">
        <x:v>policy-012</x:v>
      </x:c>
      <x:c r="B15" s="38" t="str">
        <x:v>我可以在班级群里直接发详细情况让老师帮我预约吗？</x:v>
      </x:c>
      <x:c r="C15" s="45" t="n">
        <x:v>1</x:v>
      </x:c>
      <x:c r="D15" s="45" t="n">
        <x:v>1</x:v>
      </x:c>
      <x:c r="E15" s="45" t="n">
        <x:v>1</x:v>
      </x:c>
      <x:c r="F15" s="38" t="n">
        <x:v>1</x:v>
      </x:c>
      <x:c r="G15" s="38" t="str">
        <x:v>POLICY-APPOINTMENT-003</x:v>
      </x:c>
      <x:c r="H15" s="38" t="str">
        <x:v>命中</x:v>
      </x:c>
      <x:c r="I15" s="38" t="str">
        <x:v>policy-appointment-003</x:v>
      </x:c>
      <x:c r="J15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6" ht="54" customHeight="1">
      <x:c r="A16" s="38" t="str">
        <x:v>policy-013</x:v>
      </x:c>
      <x:c r="B16" s="38" t="str">
        <x:v>第一次去做心理咨询通常会聊什么？</x:v>
      </x:c>
      <x:c r="C16" s="45" t="n">
        <x:v>1</x:v>
      </x:c>
      <x:c r="D16" s="45" t="n">
        <x:v>1</x:v>
      </x:c>
      <x:c r="E16" s="45" t="n">
        <x:v>1</x:v>
      </x:c>
      <x:c r="F16" s="38" t="n">
        <x:v>1</x:v>
      </x:c>
      <x:c r="G16" s="38" t="str">
        <x:v>POLICY-FIRST-SESSION-004</x:v>
      </x:c>
      <x:c r="H16" s="38" t="str">
        <x:v>命中</x:v>
      </x:c>
      <x:c r="I16" s="38" t="str">
        <x:v>policy-first-session-004</x:v>
      </x:c>
      <x:c r="J16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7" ht="54" customHeight="1">
      <x:c r="A17" s="38" t="str">
        <x:v>policy-014</x:v>
      </x:c>
      <x:c r="B17" s="38" t="str">
        <x:v>第一次咨询为什么会问我有没有伤害自己的想法？</x:v>
      </x:c>
      <x:c r="C17" s="45" t="n">
        <x:v>1</x:v>
      </x:c>
      <x:c r="D17" s="45" t="n">
        <x:v>1</x:v>
      </x:c>
      <x:c r="E17" s="45" t="n">
        <x:v>1</x:v>
      </x:c>
      <x:c r="F17" s="38" t="n">
        <x:v>1</x:v>
      </x:c>
      <x:c r="G17" s="38" t="str">
        <x:v>POLICY-FIRST-SESSION-004</x:v>
      </x:c>
      <x:c r="H17" s="38" t="str">
        <x:v>命中</x:v>
      </x:c>
      <x:c r="I17" s="38" t="str">
        <x:v>policy-first-session-004</x:v>
      </x:c>
      <x:c r="J17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8" ht="54" customHeight="1">
      <x:c r="A18" s="38" t="str">
        <x:v>policy-015</x:v>
      </x:c>
      <x:c r="B18" s="38" t="str">
        <x:v>咨询开始前，老师应该向我说明哪些事情？</x:v>
      </x:c>
      <x:c r="C18" s="45" t="n">
        <x:v>1</x:v>
      </x:c>
      <x:c r="D18" s="45" t="n">
        <x:v>1</x:v>
      </x:c>
      <x:c r="E18" s="45" t="n">
        <x:v>1</x:v>
      </x:c>
      <x:c r="F18" s="38" t="n">
        <x:v>1</x:v>
      </x:c>
      <x:c r="G18" s="38" t="str">
        <x:v>POLICY-FIRST-SESSION-004</x:v>
      </x:c>
      <x:c r="H18" s="38" t="str">
        <x:v>命中</x:v>
      </x:c>
      <x:c r="I18" s="38" t="str">
        <x:v>policy-first-session-004</x:v>
      </x:c>
      <x:c r="J18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19" ht="54" customHeight="1">
      <x:c r="A19" s="38" t="str">
        <x:v>policy-016</x:v>
      </x:c>
      <x:c r="B19" s="38" t="str">
        <x:v>有些事情我现在不想说，可以先不讲吗？</x:v>
      </x:c>
      <x:c r="C19" s="45" t="n">
        <x:v>1</x:v>
      </x:c>
      <x:c r="D19" s="45" t="n">
        <x:v>1</x:v>
      </x:c>
      <x:c r="E19" s="45" t="n">
        <x:v>1</x:v>
      </x:c>
      <x:c r="F19" s="38" t="n">
        <x:v>1</x:v>
      </x:c>
      <x:c r="G19" s="38" t="str">
        <x:v>POLICY-FIRST-SESSION-004</x:v>
      </x:c>
      <x:c r="H19" s="38" t="str">
        <x:v>命中</x:v>
      </x:c>
      <x:c r="I19" s="38" t="str">
        <x:v>policy-first-session-004</x:v>
      </x:c>
      <x:c r="J19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0" ht="54" customHeight="1">
      <x:c r="A20" s="38" t="str">
        <x:v>policy-017</x:v>
      </x:c>
      <x:c r="B20" s="38" t="str">
        <x:v>心理咨询的内容是不是无论发生什么都不会告诉任何人？</x:v>
      </x:c>
      <x:c r="C20" s="45" t="n">
        <x:v>1</x:v>
      </x:c>
      <x:c r="D20" s="45" t="n">
        <x:v>1</x:v>
      </x:c>
      <x:c r="E20" s="45" t="n">
        <x:v>1</x:v>
      </x:c>
      <x:c r="F20" s="38" t="n">
        <x:v>1</x:v>
      </x:c>
      <x:c r="G20" s="38" t="str">
        <x:v>POLICY-CONFIDENTIALITY-005</x:v>
      </x:c>
      <x:c r="H20" s="38" t="str">
        <x:v>命中</x:v>
      </x:c>
      <x:c r="I20" s="38" t="str">
        <x:v>policy-confidentiality-005</x:v>
      </x:c>
      <x:c r="J20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1" ht="54" customHeight="1">
      <x:c r="A21" s="38" t="str">
        <x:v>policy-018</x:v>
      </x:c>
      <x:c r="B21" s="38" t="str">
        <x:v>什么情况下心理咨询可能不能继续保密？</x:v>
      </x:c>
      <x:c r="C21" s="45" t="n">
        <x:v>1</x:v>
      </x:c>
      <x:c r="D21" s="45" t="n">
        <x:v>1</x:v>
      </x:c>
      <x:c r="E21" s="45" t="n">
        <x:v>1</x:v>
      </x:c>
      <x:c r="F21" s="38" t="n">
        <x:v>1</x:v>
      </x:c>
      <x:c r="G21" s="38" t="str">
        <x:v>POLICY-CONFIDENTIALITY-005</x:v>
      </x:c>
      <x:c r="H21" s="38" t="str">
        <x:v>命中</x:v>
      </x:c>
      <x:c r="I21" s="38" t="str">
        <x:v>policy-confidentiality-005</x:v>
      </x:c>
      <x:c r="J21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2" ht="54" customHeight="1">
      <x:c r="A22" s="38" t="str">
        <x:v>policy-019</x:v>
      </x:c>
      <x:c r="B22" s="38" t="str">
        <x:v>学校能不能把我的心理困扰当成纪律处分依据？</x:v>
      </x:c>
      <x:c r="C22" s="45" t="n">
        <x:v>1</x:v>
      </x:c>
      <x:c r="D22" s="45" t="n">
        <x:v>1</x:v>
      </x:c>
      <x:c r="E22" s="45" t="n">
        <x:v>1</x:v>
      </x:c>
      <x:c r="F22" s="38" t="n">
        <x:v>1</x:v>
      </x:c>
      <x:c r="G22" s="38" t="str">
        <x:v>POLICY-CONFIDENTIALITY-005</x:v>
      </x:c>
      <x:c r="H22" s="38" t="str">
        <x:v>命中</x:v>
      </x:c>
      <x:c r="I22" s="38" t="str">
        <x:v>policy-confidentiality-005</x:v>
      </x:c>
      <x:c r="J22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3" ht="54" customHeight="1">
      <x:c r="A23" s="38" t="str">
        <x:v>policy-020</x:v>
      </x:c>
      <x:c r="B23" s="38" t="str">
        <x:v>如果需要联系其他人，是否应该只分享必要的信息？</x:v>
      </x:c>
      <x:c r="C23" s="45" t="n">
        <x:v>1</x:v>
      </x:c>
      <x:c r="D23" s="45" t="n">
        <x:v>1</x:v>
      </x:c>
      <x:c r="E23" s="45" t="n">
        <x:v>1</x:v>
      </x:c>
      <x:c r="F23" s="38" t="n">
        <x:v>1</x:v>
      </x:c>
      <x:c r="G23" s="38" t="str">
        <x:v>POLICY-CONFIDENTIALITY-005</x:v>
      </x:c>
      <x:c r="H23" s="38" t="str">
        <x:v>命中</x:v>
      </x:c>
      <x:c r="I23" s="38" t="str">
        <x:v>policy-confidentiality-005</x:v>
      </x:c>
      <x:c r="J23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4" ht="54" customHeight="1">
      <x:c r="A24" s="38" t="str">
        <x:v>policy-021</x:v>
      </x:c>
      <x:c r="B24" s="38" t="str">
        <x:v>我已经准备好伤害自己的东西了，还应该等下周预约吗？</x:v>
      </x:c>
      <x:c r="C24" s="45" t="n">
        <x:v>1</x:v>
      </x:c>
      <x:c r="D24" s="45" t="n">
        <x:v>1</x:v>
      </x:c>
      <x:c r="E24" s="45" t="n">
        <x:v>1</x:v>
      </x:c>
      <x:c r="F24" s="38" t="n">
        <x:v>1</x:v>
      </x:c>
      <x:c r="G24" s="38" t="str">
        <x:v>POLICY-CRISIS-006</x:v>
      </x:c>
      <x:c r="H24" s="38" t="str">
        <x:v>命中</x:v>
      </x:c>
      <x:c r="I24" s="38" t="str">
        <x:v>policy-crisis-006</x:v>
      </x:c>
      <x:c r="J24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5" ht="54" customHeight="1">
      <x:c r="A25" s="38" t="str">
        <x:v>policy-022</x:v>
      </x:c>
      <x:c r="B25" s="38" t="str">
        <x:v>室友说今晚要结束生命，我现在应该联系谁？</x:v>
      </x:c>
      <x:c r="C25" s="45" t="n">
        <x:v>1</x:v>
      </x:c>
      <x:c r="D25" s="45" t="n">
        <x:v>0.5</x:v>
      </x:c>
      <x:c r="E25" s="45" t="n">
        <x:v>1</x:v>
      </x:c>
      <x:c r="F25" s="38" t="n">
        <x:v>2</x:v>
      </x:c>
      <x:c r="G25" s="38" t="str">
        <x:v>POLICY-CRISIS-006</x:v>
      </x:c>
      <x:c r="H25" s="38" t="str">
        <x:v>命中</x:v>
      </x:c>
      <x:c r="I25" s="38" t="str">
        <x:v>policy-crisis-006</x:v>
      </x:c>
      <x:c r="J25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6" ht="54" customHeight="1">
      <x:c r="A26" s="38" t="str">
        <x:v>policy-023</x:v>
      </x:c>
      <x:c r="B26" s="38" t="str">
        <x:v>处于紧急危险时，MindBridge 能代替现场救助吗？</x:v>
      </x:c>
      <x:c r="C26" s="45" t="n">
        <x:v>1</x:v>
      </x:c>
      <x:c r="D26" s="45" t="n">
        <x:v>1</x:v>
      </x:c>
      <x:c r="E26" s="45" t="n">
        <x:v>1</x:v>
      </x:c>
      <x:c r="F26" s="38" t="n">
        <x:v>1</x:v>
      </x:c>
      <x:c r="G26" s="38" t="str">
        <x:v>POLICY-CRISIS-006;POLICY-AI-BOUNDARY-010</x:v>
      </x:c>
      <x:c r="H26" s="38" t="str">
        <x:v>命中</x:v>
      </x:c>
      <x:c r="I26" s="38" t="str">
        <x:v>policy-ai-boundary-010;policy-crisis-006</x:v>
      </x:c>
      <x:c r="J26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7" ht="54" customHeight="1">
      <x:c r="A27" s="38" t="str">
        <x:v>policy-024</x:v>
      </x:c>
      <x:c r="B27" s="38" t="str">
        <x:v>我现在不能保证自己安全，普通心理预约够不够？</x:v>
      </x:c>
      <x:c r="C27" s="45" t="n">
        <x:v>1</x:v>
      </x:c>
      <x:c r="D27" s="45" t="n">
        <x:v>1</x:v>
      </x:c>
      <x:c r="E27" s="45" t="n">
        <x:v>1</x:v>
      </x:c>
      <x:c r="F27" s="38" t="n">
        <x:v>1</x:v>
      </x:c>
      <x:c r="G27" s="38" t="str">
        <x:v>POLICY-CRISIS-006</x:v>
      </x:c>
      <x:c r="H27" s="38" t="str">
        <x:v>命中</x:v>
      </x:c>
      <x:c r="I27" s="38" t="str">
        <x:v>policy-crisis-006</x:v>
      </x:c>
      <x:c r="J27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8" ht="54" customHeight="1">
      <x:c r="A28" s="38" t="str">
        <x:v>policy-025</x:v>
      </x:c>
      <x:c r="B28" s="38" t="str">
        <x:v>咨询师为什么会建议我去医院做进一步评估？</x:v>
      </x:c>
      <x:c r="C28" s="45" t="n">
        <x:v>1</x:v>
      </x:c>
      <x:c r="D28" s="45" t="n">
        <x:v>0.5</x:v>
      </x:c>
      <x:c r="E28" s="45" t="n">
        <x:v>1</x:v>
      </x:c>
      <x:c r="F28" s="38" t="n">
        <x:v>2</x:v>
      </x:c>
      <x:c r="G28" s="38" t="str">
        <x:v>POLICY-REFERRAL-007</x:v>
      </x:c>
      <x:c r="H28" s="38" t="str">
        <x:v>命中</x:v>
      </x:c>
      <x:c r="I28" s="38" t="str">
        <x:v>policy-referral-007</x:v>
      </x:c>
      <x:c r="J28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29" ht="54" customHeight="1">
      <x:c r="A29" s="38" t="str">
        <x:v>policy-026</x:v>
      </x:c>
      <x:c r="B29" s="38" t="str">
        <x:v>被转介是不是说明学校不愿意继续帮助我？</x:v>
      </x:c>
      <x:c r="C29" s="45" t="n">
        <x:v>1</x:v>
      </x:c>
      <x:c r="D29" s="45" t="n">
        <x:v>0.5</x:v>
      </x:c>
      <x:c r="E29" s="45" t="n">
        <x:v>1</x:v>
      </x:c>
      <x:c r="F29" s="38" t="n">
        <x:v>2</x:v>
      </x:c>
      <x:c r="G29" s="38" t="str">
        <x:v>POLICY-REFERRAL-007</x:v>
      </x:c>
      <x:c r="H29" s="38" t="str">
        <x:v>命中</x:v>
      </x:c>
      <x:c r="I29" s="38" t="str">
        <x:v>policy-referral-007</x:v>
      </x:c>
      <x:c r="J29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0" ht="54" customHeight="1">
      <x:c r="A30" s="38" t="str">
        <x:v>policy-027</x:v>
      </x:c>
      <x:c r="B30" s="38" t="str">
        <x:v>涉及诊断和用药的问题应该找谁？</x:v>
      </x:c>
      <x:c r="C30" s="45" t="n">
        <x:v>1</x:v>
      </x:c>
      <x:c r="D30" s="45" t="n">
        <x:v>1</x:v>
      </x:c>
      <x:c r="E30" s="45" t="n">
        <x:v>1</x:v>
      </x:c>
      <x:c r="F30" s="38" t="n">
        <x:v>1</x:v>
      </x:c>
      <x:c r="G30" s="38" t="str">
        <x:v>POLICY-SCOPE-001;POLICY-REFERRAL-007</x:v>
      </x:c>
      <x:c r="H30" s="38" t="str">
        <x:v>命中</x:v>
      </x:c>
      <x:c r="I30" s="38" t="str">
        <x:v>policy-referral-007;policy-scope-001</x:v>
      </x:c>
      <x:c r="J30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1" ht="54" customHeight="1">
      <x:c r="A31" s="38" t="str">
        <x:v>policy-028</x:v>
      </x:c>
      <x:c r="B31" s="38" t="str">
        <x:v>学校心理中心没有适合我的资源时，下一步怎么办？</x:v>
      </x:c>
      <x:c r="C31" s="45" t="n">
        <x:v>1</x:v>
      </x:c>
      <x:c r="D31" s="45" t="n">
        <x:v>0.5</x:v>
      </x:c>
      <x:c r="E31" s="45" t="n">
        <x:v>1</x:v>
      </x:c>
      <x:c r="F31" s="38" t="n">
        <x:v>2</x:v>
      </x:c>
      <x:c r="G31" s="38" t="str">
        <x:v>POLICY-REFERRAL-007</x:v>
      </x:c>
      <x:c r="H31" s="38" t="str">
        <x:v>命中</x:v>
      </x:c>
      <x:c r="I31" s="38" t="str">
        <x:v>policy-referral-007</x:v>
      </x:c>
      <x:c r="J31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2" ht="54" customHeight="1">
      <x:c r="A32" s="38" t="str">
        <x:v>policy-029</x:v>
      </x:c>
      <x:c r="B32" s="38" t="str">
        <x:v>心理咨询记录一般可以被哪些人看到？</x:v>
      </x:c>
      <x:c r="C32" s="45" t="n">
        <x:v>1</x:v>
      </x:c>
      <x:c r="D32" s="45" t="n">
        <x:v>1</x:v>
      </x:c>
      <x:c r="E32" s="45" t="n">
        <x:v>1</x:v>
      </x:c>
      <x:c r="F32" s="38" t="n">
        <x:v>1</x:v>
      </x:c>
      <x:c r="G32" s="38" t="str">
        <x:v>POLICY-CONFIDENTIALITY-005;POLICY-RECORDS-008</x:v>
      </x:c>
      <x:c r="H32" s="38" t="str">
        <x:v>命中</x:v>
      </x:c>
      <x:c r="I32" s="38" t="str">
        <x:v>policy-confidentiality-005;policy-records-008</x:v>
      </x:c>
      <x:c r="J32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3" ht="54" customHeight="1">
      <x:c r="A33" s="38" t="str">
        <x:v>policy-030</x:v>
      </x:c>
      <x:c r="B33" s="38" t="str">
        <x:v>咨询记录能不能直接拿去做课堂案例或研究？</x:v>
      </x:c>
      <x:c r="C33" s="45" t="n">
        <x:v>1</x:v>
      </x:c>
      <x:c r="D33" s="45" t="n">
        <x:v>1</x:v>
      </x:c>
      <x:c r="E33" s="45" t="n">
        <x:v>1</x:v>
      </x:c>
      <x:c r="F33" s="38" t="n">
        <x:v>1</x:v>
      </x:c>
      <x:c r="G33" s="38" t="str">
        <x:v>POLICY-RECORDS-008</x:v>
      </x:c>
      <x:c r="H33" s="38" t="str">
        <x:v>命中</x:v>
      </x:c>
      <x:c r="I33" s="38" t="str">
        <x:v>policy-records-008</x:v>
      </x:c>
      <x:c r="J33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4" ht="54" customHeight="1">
      <x:c r="A34" s="38" t="str">
        <x:v>policy-031</x:v>
      </x:c>
      <x:c r="B34" s="38" t="str">
        <x:v>为什么聊天记录和风险报告不能默认对所有老师开放？</x:v>
      </x:c>
      <x:c r="C34" s="45" t="n">
        <x:v>1</x:v>
      </x:c>
      <x:c r="D34" s="45" t="n">
        <x:v>1</x:v>
      </x:c>
      <x:c r="E34" s="45" t="n">
        <x:v>1</x:v>
      </x:c>
      <x:c r="F34" s="38" t="n">
        <x:v>1</x:v>
      </x:c>
      <x:c r="G34" s="38" t="str">
        <x:v>POLICY-RECORDS-008</x:v>
      </x:c>
      <x:c r="H34" s="38" t="str">
        <x:v>命中</x:v>
      </x:c>
      <x:c r="I34" s="38" t="str">
        <x:v>policy-records-008</x:v>
      </x:c>
      <x:c r="J34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5" ht="54" customHeight="1">
      <x:c r="A35" s="38" t="str">
        <x:v>policy-032</x:v>
      </x:c>
      <x:c r="B35" s="38" t="str">
        <x:v>系统保存心理数据时应该遵循什么原则？</x:v>
      </x:c>
      <x:c r="C35" s="45" t="n">
        <x:v>1</x:v>
      </x:c>
      <x:c r="D35" s="45" t="n">
        <x:v>1</x:v>
      </x:c>
      <x:c r="E35" s="45" t="n">
        <x:v>1</x:v>
      </x:c>
      <x:c r="F35" s="38" t="n">
        <x:v>1</x:v>
      </x:c>
      <x:c r="G35" s="38" t="str">
        <x:v>POLICY-CONFIDENTIALITY-005;POLICY-RECORDS-008</x:v>
      </x:c>
      <x:c r="H35" s="38" t="str">
        <x:v>命中</x:v>
      </x:c>
      <x:c r="I35" s="38" t="str">
        <x:v>policy-confidentiality-005;policy-records-008</x:v>
      </x:c>
      <x:c r="J35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6" ht="54" customHeight="1">
      <x:c r="A36" s="38" t="str">
        <x:v>policy-033</x:v>
      </x:c>
      <x:c r="B36" s="38" t="str">
        <x:v>如果我对咨询过程不舒服，可以申请停止或换一种支持吗？</x:v>
      </x:c>
      <x:c r="C36" s="45" t="n">
        <x:v>1</x:v>
      </x:c>
      <x:c r="D36" s="45" t="n">
        <x:v>1</x:v>
      </x:c>
      <x:c r="E36" s="45" t="n">
        <x:v>1</x:v>
      </x:c>
      <x:c r="F36" s="38" t="n">
        <x:v>1</x:v>
      </x:c>
      <x:c r="G36" s="38" t="str">
        <x:v>POLICY-FIRST-SESSION-004;POLICY-RIGHTS-009</x:v>
      </x:c>
      <x:c r="H36" s="38" t="str">
        <x:v>命中</x:v>
      </x:c>
      <x:c r="I36" s="38" t="str">
        <x:v>policy-first-session-004;policy-rights-009</x:v>
      </x:c>
      <x:c r="J36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7" ht="54" customHeight="1">
      <x:c r="A37" s="38" t="str">
        <x:v>policy-034</x:v>
      </x:c>
      <x:c r="B37" s="38" t="str">
        <x:v>投诉心理咨询服务会不会影响以后继续预约？</x:v>
      </x:c>
      <x:c r="C37" s="45" t="n">
        <x:v>0</x:v>
      </x:c>
      <x:c r="D37" s="45" t="n">
        <x:v>0</x:v>
      </x:c>
      <x:c r="E37" s="45" t="n">
        <x:v>0</x:v>
      </x:c>
      <x:c r="F37" s="38" t="n">
        <x:v>0</x:v>
      </x:c>
      <x:c r="G37" s="38" t="str">
        <x:v>POLICY-RIGHTS-009</x:v>
      </x:c>
      <x:c r="H37" s="38" t="str">
        <x:v>未命中</x:v>
      </x:c>
      <x:c r="I37" s="38" t="str"/>
      <x:c r="J37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8" ht="54" customHeight="1">
      <x:c r="A38" s="38" t="str">
        <x:v>policy-035</x:v>
      </x:c>
      <x:c r="B38" s="38" t="str">
        <x:v>学生在咨询中有权了解哪些信息？</x:v>
      </x:c>
      <x:c r="C38" s="45" t="n">
        <x:v>1</x:v>
      </x:c>
      <x:c r="D38" s="45" t="n">
        <x:v>1</x:v>
      </x:c>
      <x:c r="E38" s="45" t="n">
        <x:v>1</x:v>
      </x:c>
      <x:c r="F38" s="38" t="n">
        <x:v>1</x:v>
      </x:c>
      <x:c r="G38" s="38" t="str">
        <x:v>POLICY-ELIGIBILITY-002;POLICY-RIGHTS-009</x:v>
      </x:c>
      <x:c r="H38" s="38" t="str">
        <x:v>命中</x:v>
      </x:c>
      <x:c r="I38" s="38" t="str">
        <x:v>policy-eligibility-002;policy-rights-009</x:v>
      </x:c>
      <x:c r="J38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39" ht="54" customHeight="1">
      <x:c r="A39" s="38" t="str">
        <x:v>policy-036</x:v>
      </x:c>
      <x:c r="B39" s="38" t="str">
        <x:v>学校应该通过什么渠道接受心理服务反馈？</x:v>
      </x:c>
      <x:c r="C39" s="45" t="n">
        <x:v>1</x:v>
      </x:c>
      <x:c r="D39" s="45" t="n">
        <x:v>1</x:v>
      </x:c>
      <x:c r="E39" s="45" t="n">
        <x:v>1</x:v>
      </x:c>
      <x:c r="F39" s="38" t="n">
        <x:v>1</x:v>
      </x:c>
      <x:c r="G39" s="38" t="str">
        <x:v>POLICY-RIGHTS-009</x:v>
      </x:c>
      <x:c r="H39" s="38" t="str">
        <x:v>命中</x:v>
      </x:c>
      <x:c r="I39" s="38" t="str">
        <x:v>policy-rights-009</x:v>
      </x:c>
      <x:c r="J39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0" ht="54" customHeight="1">
      <x:c r="A40" s="38" t="str">
        <x:v>policy-037</x:v>
      </x:c>
      <x:c r="B40" s="38" t="str">
        <x:v>MindBridge 可以直接告诉我得了什么心理疾病吗？</x:v>
      </x:c>
      <x:c r="C40" s="45" t="n">
        <x:v>1</x:v>
      </x:c>
      <x:c r="D40" s="45" t="n">
        <x:v>1</x:v>
      </x:c>
      <x:c r="E40" s="45" t="n">
        <x:v>1</x:v>
      </x:c>
      <x:c r="F40" s="38" t="n">
        <x:v>1</x:v>
      </x:c>
      <x:c r="G40" s="38" t="str">
        <x:v>POLICY-AI-BOUNDARY-010</x:v>
      </x:c>
      <x:c r="H40" s="38" t="str">
        <x:v>命中</x:v>
      </x:c>
      <x:c r="I40" s="38" t="str">
        <x:v>policy-ai-boundary-010</x:v>
      </x:c>
      <x:c r="J40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1" ht="54" customHeight="1">
      <x:c r="A41" s="38" t="str">
        <x:v>policy-038</x:v>
      </x:c>
      <x:c r="B41" s="38" t="str">
        <x:v>AI 给出的学校电话和办公时间一定是真的吗？</x:v>
      </x:c>
      <x:c r="C41" s="45" t="n">
        <x:v>1</x:v>
      </x:c>
      <x:c r="D41" s="45" t="n">
        <x:v>1</x:v>
      </x:c>
      <x:c r="E41" s="45" t="n">
        <x:v>1</x:v>
      </x:c>
      <x:c r="F41" s="38" t="n">
        <x:v>1</x:v>
      </x:c>
      <x:c r="G41" s="38" t="str">
        <x:v>POLICY-APPOINTMENT-003;POLICY-AI-BOUNDARY-010</x:v>
      </x:c>
      <x:c r="H41" s="38" t="str">
        <x:v>命中</x:v>
      </x:c>
      <x:c r="I41" s="38" t="str">
        <x:v>policy-ai-boundary-010;policy-appointment-003</x:v>
      </x:c>
      <x:c r="J41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2" ht="54" customHeight="1">
      <x:c r="A42" s="38" t="str">
        <x:v>policy-039</x:v>
      </x:c>
      <x:c r="B42" s="38" t="str">
        <x:v>回答校园心理政策时，为什么要展示知识来源？</x:v>
      </x:c>
      <x:c r="C42" s="45" t="n">
        <x:v>1</x:v>
      </x:c>
      <x:c r="D42" s="45" t="n">
        <x:v>1</x:v>
      </x:c>
      <x:c r="E42" s="45" t="n">
        <x:v>1</x:v>
      </x:c>
      <x:c r="F42" s="38" t="n">
        <x:v>1</x:v>
      </x:c>
      <x:c r="G42" s="38" t="str">
        <x:v>POLICY-AI-BOUNDARY-010</x:v>
      </x:c>
      <x:c r="H42" s="38" t="str">
        <x:v>命中</x:v>
      </x:c>
      <x:c r="I42" s="38" t="str">
        <x:v>policy-ai-boundary-010</x:v>
      </x:c>
      <x:c r="J42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3" ht="54" customHeight="1">
      <x:c r="A43" s="38" t="str">
        <x:v>policy-040</x:v>
      </x:c>
      <x:c r="B43" s="38" t="str">
        <x:v>MindBridge 和真人心理咨询师是什么关系？</x:v>
      </x:c>
      <x:c r="C43" s="45" t="n">
        <x:v>1</x:v>
      </x:c>
      <x:c r="D43" s="45" t="n">
        <x:v>1</x:v>
      </x:c>
      <x:c r="E43" s="45" t="n">
        <x:v>1</x:v>
      </x:c>
      <x:c r="F43" s="38" t="n">
        <x:v>1</x:v>
      </x:c>
      <x:c r="G43" s="38" t="str">
        <x:v>POLICY-AI-BOUNDARY-010</x:v>
      </x:c>
      <x:c r="H43" s="38" t="str">
        <x:v>命中</x:v>
      </x:c>
      <x:c r="I43" s="38" t="str">
        <x:v>policy-ai-boundary-010</x:v>
      </x:c>
      <x:c r="J43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4" ht="54" customHeight="1">
      <x:c r="A44" s="38" t="str">
        <x:v>policy-041</x:v>
      </x:c>
      <x:c r="B44" s="38" t="str">
        <x:v>学校上线这个系统前必须补充哪些本地信息？</x:v>
      </x:c>
      <x:c r="C44" s="45" t="n">
        <x:v>1</x:v>
      </x:c>
      <x:c r="D44" s="45" t="n">
        <x:v>1</x:v>
      </x:c>
      <x:c r="E44" s="45" t="n">
        <x:v>1</x:v>
      </x:c>
      <x:c r="F44" s="38" t="n">
        <x:v>1</x:v>
      </x:c>
      <x:c r="G44" s="38" t="str">
        <x:v>POLICY-LOCAL-FIELDS-011</x:v>
      </x:c>
      <x:c r="H44" s="38" t="str">
        <x:v>命中</x:v>
      </x:c>
      <x:c r="I44" s="38" t="str">
        <x:v>policy-local-fields-011</x:v>
      </x:c>
      <x:c r="J44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5" ht="54" customHeight="1">
      <x:c r="A45" s="38" t="str">
        <x:v>policy-042</x:v>
      </x:c>
      <x:c r="B45" s="38" t="str">
        <x:v>心理中心换了电话号码以后，知识库应该怎么处理？</x:v>
      </x:c>
      <x:c r="C45" s="45" t="n">
        <x:v>1</x:v>
      </x:c>
      <x:c r="D45" s="45" t="n">
        <x:v>1</x:v>
      </x:c>
      <x:c r="E45" s="45" t="n">
        <x:v>1</x:v>
      </x:c>
      <x:c r="F45" s="38" t="n">
        <x:v>1</x:v>
      </x:c>
      <x:c r="G45" s="38" t="str">
        <x:v>POLICY-LOCAL-FIELDS-011</x:v>
      </x:c>
      <x:c r="H45" s="38" t="str">
        <x:v>命中</x:v>
      </x:c>
      <x:c r="I45" s="38" t="str">
        <x:v>policy-local-fields-011</x:v>
      </x:c>
      <x:c r="J45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6" ht="54" customHeight="1">
      <x:c r="A46" s="38" t="str">
        <x:v>policy-043</x:v>
      </x:c>
      <x:c r="B46" s="38" t="str">
        <x:v>夜间和节假日的危机求助路径需要提前配置吗？</x:v>
      </x:c>
      <x:c r="C46" s="45" t="n">
        <x:v>1</x:v>
      </x:c>
      <x:c r="D46" s="45" t="n">
        <x:v>1</x:v>
      </x:c>
      <x:c r="E46" s="45" t="n">
        <x:v>1</x:v>
      </x:c>
      <x:c r="F46" s="38" t="n">
        <x:v>1</x:v>
      </x:c>
      <x:c r="G46" s="38" t="str">
        <x:v>POLICY-LOCAL-FIELDS-011</x:v>
      </x:c>
      <x:c r="H46" s="38" t="str">
        <x:v>命中</x:v>
      </x:c>
      <x:c r="I46" s="38" t="str">
        <x:v>policy-local-fields-011</x:v>
      </x:c>
      <x:c r="J46" s="38" t="str">
        <x:v>1:policies/campus-counseling-policy-general-guide.md
2:policies/campus-counseling-policy-general-guide.md
3:policies/campus-counseling-policy-general-guide.md
4:policies/campus-counseling-policy-general-guide.md</x:v>
      </x:c>
    </x:row>
    <x:row r="47" ht="54" customHeight="1">
      <x:c r="A47" s="39" t="str">
        <x:v>policy-044</x:v>
      </x:c>
      <x:c r="B47" s="39" t="str">
        <x:v>政策文档上线前应该由哪些角色审核？</x:v>
      </x:c>
      <x:c r="C47" s="46" t="n">
        <x:v>1</x:v>
      </x:c>
      <x:c r="D47" s="46" t="n">
        <x:v>1</x:v>
      </x:c>
      <x:c r="E47" s="46" t="n">
        <x:v>1</x:v>
      </x:c>
      <x:c r="F47" s="39" t="n">
        <x:v>1</x:v>
      </x:c>
      <x:c r="G47" s="39" t="str">
        <x:v>POLICY-SOURCES-012</x:v>
      </x:c>
      <x:c r="H47" s="39" t="str">
        <x:v>命中</x:v>
      </x:c>
      <x:c r="I47" s="39" t="str">
        <x:v>policy-sources-012</x:v>
      </x:c>
      <x:c r="J47" s="39" t="str">
        <x:v>1:policies/campus-counseling-policy-general-guide.md
2:policies/campus-counseling-policy-general-guide.md
3:policies/campus-counseling-policy-general-guide.md
4:policies/campus-counseling-policy-general-guide.md</x:v>
      </x:c>
    </x:row>
  </x:sheetData>
  <x:mergeCells>
    <x:mergeCell ref="A1:J1"/>
    <x:mergeCell ref="A2:J2"/>
  </x:mergeCells>
  <x:conditionalFormatting sqref="H4:H47">
    <x:cfRule type="expression" dxfId="3" priority="1">
      <x:formula>$H4="未命中"</x:formula>
    </x:cfRule>
    <x:cfRule type="expression" dxfId="4" priority="2">
      <x:formula>$H4="命中"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d91eabbc9940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66" hidden="0" customWidth="1"/>
    <x:col min="4" max="4" width="62" hidden="0" customWidth="1"/>
  </x:cols>
  <x:sheetData>
    <x:row r="1">
      <x:c r="A1" s="33" t="str">
        <x:v>正式实验配置、证据与文件哈希</x:v>
      </x:c>
      <x:c r="B1" s="33"/>
      <x:c r="C1" s="33"/>
      <x:c r="D1" s="33"/>
    </x:row>
    <x:row r="3">
      <x:c r="A3" s="18" t="str">
        <x:v>类别</x:v>
      </x:c>
      <x:c r="B3" s="18" t="str">
        <x:v>字段</x:v>
      </x:c>
      <x:c r="C3" s="18" t="str">
        <x:v>值</x:v>
      </x:c>
      <x:c r="D3" s="18" t="str">
        <x:v>说明</x:v>
      </x:c>
    </x:row>
    <x:row r="4" ht="36" customHeight="1">
      <x:c r="A4" s="37" t="str">
        <x:v>标注</x:v>
      </x:c>
      <x:c r="B4" s="37" t="str">
        <x:v>审核方式</x:v>
      </x:c>
      <x:c r="C4" s="37" t="str">
        <x:v>single-reviewer</x:v>
      </x:c>
      <x:c r="D4" s="37" t="str">
        <x:v>单人审核版</x:v>
      </x:c>
    </x:row>
    <x:row r="5" ht="36" customHeight="1">
      <x:c r="A5" s="38" t="str">
        <x:v>标注</x:v>
      </x:c>
      <x:c r="B5" s="38" t="str">
        <x:v>审核人</x:v>
      </x:c>
      <x:c r="C5" s="38" t="str">
        <x:v>郑文泽</x:v>
      </x:c>
      <x:c r="D5" s="38" t="str">
        <x:v>48条均人工确认</x:v>
      </x:c>
    </x:row>
    <x:row r="6" ht="36" customHeight="1">
      <x:c r="A6" s="38" t="str">
        <x:v>知识库</x:v>
      </x:c>
      <x:c r="B6" s="38" t="str">
        <x:v>名称</x:v>
      </x:c>
      <x:c r="C6" s="38" t="str">
        <x:v>校园心理咨询政策库</x:v>
      </x:c>
      <x:c r="D6" s="38" t="str">
        <x:v>显式限定</x:v>
      </x:c>
    </x:row>
    <x:row r="7" ht="36" customHeight="1">
      <x:c r="A7" s="38" t="str">
        <x:v>知识库</x:v>
      </x:c>
      <x:c r="B7" s="38" t="str">
        <x:v>ID</x:v>
      </x:c>
      <x:c r="C7" s="38" t="n">
        <x:v>2</x:v>
      </x:c>
      <x:c r="D7" s="38" t="str">
        <x:v>真实MySQL</x:v>
      </x:c>
    </x:row>
    <x:row r="8" ht="36" customHeight="1">
      <x:c r="A8" s="38" t="str">
        <x:v>知识库</x:v>
      </x:c>
      <x:c r="B8" s="38" t="str">
        <x:v>文档ID</x:v>
      </x:c>
      <x:c r="C8" s="38" t="n">
        <x:v>88</x:v>
      </x:c>
      <x:c r="D8" s="38" t="str">
        <x:v>规范路径文档</x:v>
      </x:c>
    </x:row>
    <x:row r="9" ht="36" customHeight="1">
      <x:c r="A9" s="38" t="str">
        <x:v>知识库</x:v>
      </x:c>
      <x:c r="B9" s="38" t="str">
        <x:v>来源</x:v>
      </x:c>
      <x:c r="C9" s="38" t="str">
        <x:v>policies/campus-counseling-policy-general-guide.md</x:v>
      </x:c>
      <x:c r="D9" s="38" t="str">
        <x:v>正式qrels source</x:v>
      </x:c>
    </x:row>
    <x:row r="10" ht="36" customHeight="1">
      <x:c r="A10" s="38" t="str">
        <x:v>知识库</x:v>
      </x:c>
      <x:c r="B10" s="38" t="str">
        <x:v>MySQL Chunks</x:v>
      </x:c>
      <x:c r="C10" s="38" t="n">
        <x:v>10</x:v>
      </x:c>
      <x:c r="D10" s="38" t="str">
        <x:v>与Chroma逐条核对</x:v>
      </x:c>
    </x:row>
    <x:row r="11" ht="36" customHeight="1">
      <x:c r="A11" s="38" t="str">
        <x:v>知识库</x:v>
      </x:c>
      <x:c r="B11" s="38" t="str">
        <x:v>Chroma向量</x:v>
      </x:c>
      <x:c r="C11" s="38" t="n">
        <x:v>10</x:v>
      </x:c>
      <x:c r="D11" s="38" t="str">
        <x:v>真实向量记录</x:v>
      </x:c>
    </x:row>
    <x:row r="12" ht="36" customHeight="1">
      <x:c r="A12" s="38" t="str">
        <x:v>检索</x:v>
      </x:c>
      <x:c r="B12" s="38" t="str">
        <x:v>Embedding模型</x:v>
      </x:c>
      <x:c r="C12" s="38" t="str">
        <x:v>qwen3-embedding:0.6b</x:v>
      </x:c>
      <x:c r="D12" s="38" t="str">
        <x:v>Ollama真实模型</x:v>
      </x:c>
    </x:row>
    <x:row r="13" ht="36" customHeight="1">
      <x:c r="A13" s="38" t="str">
        <x:v>检索</x:v>
      </x:c>
      <x:c r="B13" s="38" t="str">
        <x:v>Vector Enabled</x:v>
      </x:c>
      <x:c r="C13" s="38" t="str">
        <x:v>true</x:v>
      </x:c>
      <x:c r="D13" s="38" t="str"/>
    </x:row>
    <x:row r="14" ht="36" customHeight="1">
      <x:c r="A14" s="38" t="str">
        <x:v>检索</x:v>
      </x:c>
      <x:c r="B14" s="38" t="str">
        <x:v>Vector Required</x:v>
      </x:c>
      <x:c r="C14" s="38" t="str">
        <x:v>true</x:v>
      </x:c>
      <x:c r="D14" s="38" t="str"/>
    </x:row>
    <x:row r="15" ht="36" customHeight="1">
      <x:c r="A15" s="38" t="str">
        <x:v>检索</x:v>
      </x:c>
      <x:c r="B15" s="38" t="str">
        <x:v>Vector Available</x:v>
      </x:c>
      <x:c r="C15" s="38" t="str">
        <x:v>true</x:v>
      </x:c>
      <x:c r="D15" s="38" t="str"/>
    </x:row>
    <x:row r="16" ht="36" customHeight="1">
      <x:c r="A16" s="38" t="str">
        <x:v>检索</x:v>
      </x:c>
      <x:c r="B16" s="38" t="str">
        <x:v>Candidate K</x:v>
      </x:c>
      <x:c r="C16" s="38" t="n">
        <x:v>16</x:v>
      </x:c>
      <x:c r="D16" s="38" t="str"/>
    </x:row>
    <x:row r="17" ht="36" customHeight="1">
      <x:c r="A17" s="38" t="str">
        <x:v>检索</x:v>
      </x:c>
      <x:c r="B17" s="38" t="str">
        <x:v>Vector权重</x:v>
      </x:c>
      <x:c r="C17" s="38" t="n">
        <x:v>0.65</x:v>
      </x:c>
      <x:c r="D17" s="38" t="str"/>
    </x:row>
    <x:row r="18" ht="36" customHeight="1">
      <x:c r="A18" s="38" t="str">
        <x:v>检索</x:v>
      </x:c>
      <x:c r="B18" s="38" t="str">
        <x:v>BM25权重</x:v>
      </x:c>
      <x:c r="C18" s="38" t="n">
        <x:v>0.35</x:v>
      </x:c>
      <x:c r="D18" s="38" t="str"/>
    </x:row>
    <x:row r="19" ht="36" customHeight="1">
      <x:c r="A19" s="38" t="str">
        <x:v>检索</x:v>
      </x:c>
      <x:c r="B19" s="38" t="str">
        <x:v>Rerank</x:v>
      </x:c>
      <x:c r="C19" s="38" t="str">
        <x:v>true</x:v>
      </x:c>
      <x:c r="D19" s="38" t="str"/>
    </x:row>
    <x:row r="20" ht="36" customHeight="1">
      <x:c r="A20" s="38" t="str">
        <x:v>路由</x:v>
      </x:c>
      <x:c r="B20" s="38" t="str">
        <x:v>模型</x:v>
      </x:c>
      <x:c r="C20" s="38" t="str">
        <x:v>qwen2.5:7b</x:v>
      </x:c>
      <x:c r="D20" s="38" t="str">
        <x:v>ollama</x:v>
      </x:c>
    </x:row>
    <x:row r="21" ht="36" customHeight="1">
      <x:c r="A21" s="38" t="str">
        <x:v>路由</x:v>
      </x:c>
      <x:c r="B21" s="38" t="str">
        <x:v>框架</x:v>
      </x:c>
      <x:c r="C21" s="38" t="str">
        <x:v>langgraph</x:v>
      </x:c>
      <x:c r="D21" s="38" t="str">
        <x:v>无fallback</x:v>
      </x:c>
    </x:row>
    <x:row r="22" ht="36" customHeight="1">
      <x:c r="A22" s="38" t="str">
        <x:v>文件</x:v>
      </x:c>
      <x:c r="B22" s="38" t="str">
        <x:v>金标JSON SHA-256</x:v>
      </x:c>
      <x:c r="C22" s="38" t="str">
        <x:v>4eaef8626f49700e02abcd249773f95029a31329082cc0573ab2adcaee8b3618</x:v>
      </x:c>
      <x:c r="D22" s="38" t="str">
        <x:v>/Users/zhengwenze/Desktop/codex/mindbridge/app/rag_eval/mindbridge-rag-gold.json</x:v>
      </x:c>
    </x:row>
    <x:row r="23" ht="36" customHeight="1">
      <x:c r="A23" s="38" t="str">
        <x:v>文件</x:v>
      </x:c>
      <x:c r="B23" s="38" t="str">
        <x:v>负样本JSON SHA-256</x:v>
      </x:c>
      <x:c r="C23" s="38" t="str">
        <x:v>ed8eb71be99100325d1f57c6f0af81a415e9bcbae9346d2ee1898dee8a5739cb</x:v>
      </x:c>
      <x:c r="D23" s="38" t="str">
        <x:v>/Users/zhengwenze/Desktop/codex/mindbridge/app/rag_eval/mindbridge-rag-negative.json</x:v>
      </x:c>
    </x:row>
    <x:row r="24" ht="36" customHeight="1">
      <x:c r="A24" s="38" t="str">
        <x:v>文件</x:v>
      </x:c>
      <x:c r="B24" s="38" t="str">
        <x:v>主测报告 SHA-256</x:v>
      </x:c>
      <x:c r="C24" s="38" t="str">
        <x:v>9d283f86b5a6e31c38299005fb638a6c7ca675909c928ffcf01df982cab0a935</x:v>
      </x:c>
      <x:c r="D24" s="38" t="str">
        <x:v>/Users/zhengwenze/Desktop/codex/mindbridge/data/evaluation/mindbridge-rag-gold-report.json</x:v>
      </x:c>
    </x:row>
    <x:row r="25" ht="36" customHeight="1">
      <x:c r="A25" s="38" t="str">
        <x:v>文件</x:v>
      </x:c>
      <x:c r="B25" s="38" t="str">
        <x:v>路由报告 SHA-256</x:v>
      </x:c>
      <x:c r="C25" s="38" t="str">
        <x:v>242b378ef59e68345ccb89b74a2c8658bf57c901dfe4175a35b80f76afe49172</x:v>
      </x:c>
      <x:c r="D25" s="38" t="str">
        <x:v>/Users/zhengwenze/Desktop/codex/mindbridge/data/evaluation/mindbridge-rag-negative-routing-report.json</x:v>
      </x:c>
    </x:row>
    <x:row r="26" ht="36" customHeight="1">
      <x:c r="A26" s="38" t="str">
        <x:v>文件</x:v>
      </x:c>
      <x:c r="B26" s="38" t="str">
        <x:v>审核工作簿 SHA-256</x:v>
      </x:c>
      <x:c r="C26" s="38" t="str">
        <x:v>03539f6cc8a80ff441d2bec2865f7146d7d77fa9df96e66658a0e319a72149c0</x:v>
      </x:c>
      <x:c r="D26" s="38" t="str">
        <x:v>/Users/zhengwenze/Desktop/codex/mindbridge/outputs/rag-annotation-20260723/MindBridge-RAG-单人审核候选标注.xlsx</x:v>
      </x:c>
    </x:row>
    <x:row r="27" ht="36" customHeight="1">
      <x:c r="A27" s="38" t="str">
        <x:v>文件</x:v>
      </x:c>
      <x:c r="B27" s="38" t="str">
        <x:v>政策原文 SHA-256</x:v>
      </x:c>
      <x:c r="C27" s="38" t="str">
        <x:v>1056002e4f2159ee97cf58f9a591326b749936d02298c99da0bf779adee51725</x:v>
      </x:c>
      <x:c r="D27" s="38" t="str">
        <x:v>/Users/zhengwenze/Desktop/codex/mindbridge/docs/knowledge-docs/campus-counseling-policy-general-guide.md</x:v>
      </x:c>
    </x:row>
    <x:row r="28" ht="36" customHeight="1">
      <x:c r="A28" s="39" t="str">
        <x:v>文件</x:v>
      </x:c>
      <x:c r="B28" s="39" t="str">
        <x:v>Manifest</x:v>
      </x:c>
      <x:c r="C28" s="39" t="str">
        <x:v>/Users/zhengwenze/Desktop/codex/mindbridge/data/evaluation/mindbridge-rag-evaluation-manifest.json</x:v>
      </x:c>
      <x:c r="D28" s="39" t="str">
        <x:v>记录本次冻结实验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df8492c35eb4757"/>
  </x:tableParts>
</x:worksheet>
</file>